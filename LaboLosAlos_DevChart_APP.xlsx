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_DB" sheetId="1" state="hidden" r:id="rId1"/>
    <sheet xmlns:r="http://schemas.openxmlformats.org/officeDocument/2006/relationships" name="🎞 Dev Chart" sheetId="2" state="visible" r:id="rId2"/>
    <sheet xmlns:r="http://schemas.openxmlformats.org/officeDocument/2006/relationships" name="Instrucciones VBA" sheetId="3" state="visible" r:id="rId3"/>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FFFDDCA9"/>
      <sz val="22"/>
    </font>
    <font>
      <name val="Arial"/>
      <i val="1"/>
      <color rgb="FFFDDCA9"/>
      <sz val="10"/>
    </font>
    <font>
      <name val="Arial"/>
      <b val="1"/>
      <color rgb="FFFDDCA9"/>
      <sz val="9"/>
    </font>
    <font>
      <name val="Arial"/>
      <i val="1"/>
      <color rgb="FFAAAAAA"/>
      <sz val="11"/>
    </font>
    <font>
      <name val="Arial"/>
      <b val="1"/>
      <color rgb="FFFDDCA9"/>
      <sz val="11"/>
    </font>
    <font>
      <name val="Arial"/>
      <b val="1"/>
      <color rgb="FF562717"/>
      <sz val="40"/>
    </font>
    <font>
      <name val="Arial"/>
      <color rgb="FF562717"/>
      <sz val="11"/>
    </font>
    <font>
      <name val="Arial"/>
      <i val="1"/>
      <color rgb="FF888888"/>
      <sz val="9"/>
    </font>
    <font>
      <name val="Arial"/>
      <i val="1"/>
      <color rgb="FFAAAAAA"/>
      <sz val="8"/>
    </font>
    <font>
      <name val="Arial"/>
      <i val="1"/>
      <color rgb="FFFDDCA9"/>
      <sz val="8"/>
    </font>
    <font>
      <name val="Arial"/>
      <b val="1"/>
      <color rgb="FFFDDCA9"/>
      <sz val="14"/>
    </font>
    <font>
      <name val="Arial"/>
      <color rgb="FF000000"/>
      <sz val="9"/>
    </font>
    <font>
      <name val="Arial"/>
      <color rgb="FF000000"/>
      <sz val="10"/>
    </font>
    <font>
      <name val="Arial"/>
      <b val="1"/>
      <color rgb="FF006600"/>
      <sz val="10"/>
    </font>
    <font>
      <name val="Arial"/>
      <b val="1"/>
      <color rgb="FF2A1208"/>
      <sz val="11"/>
    </font>
    <font>
      <name val="Arial"/>
      <color rgb="FF006600"/>
      <sz val="10"/>
    </font>
    <font>
      <name val="Arial"/>
      <color rgb="FFFEA712"/>
      <sz val="8"/>
    </font>
    <font>
      <name val="Arial"/>
      <b val="1"/>
      <color rgb="FFFDDCA9"/>
      <sz val="10"/>
    </font>
    <font>
      <name val="Courier New"/>
      <color rgb="FF000000"/>
      <sz val="8"/>
    </font>
  </fonts>
  <fills count="12">
    <fill>
      <patternFill/>
    </fill>
    <fill>
      <patternFill patternType="gray125"/>
    </fill>
    <fill>
      <patternFill patternType="solid">
        <fgColor rgb="FF562717"/>
      </patternFill>
    </fill>
    <fill>
      <patternFill patternType="solid">
        <fgColor rgb="FFC21717"/>
      </patternFill>
    </fill>
    <fill>
      <patternFill patternType="solid">
        <fgColor rgb="FFE76219"/>
      </patternFill>
    </fill>
    <fill>
      <patternFill patternType="solid">
        <fgColor rgb="FFFEA712"/>
      </patternFill>
    </fill>
    <fill>
      <patternFill patternType="solid">
        <fgColor rgb="FFFDDCA9"/>
      </patternFill>
    </fill>
    <fill>
      <patternFill patternType="solid">
        <fgColor rgb="FFFDF5E6"/>
      </patternFill>
    </fill>
    <fill>
      <patternFill patternType="solid">
        <fgColor rgb="FF2A1208"/>
      </patternFill>
    </fill>
    <fill>
      <patternFill patternType="solid">
        <fgColor rgb="FFFDF0E0"/>
      </patternFill>
    </fill>
    <fill>
      <patternFill patternType="solid">
        <fgColor rgb="FF3A1A05"/>
      </patternFill>
    </fill>
    <fill>
      <patternFill patternType="solid">
        <fgColor rgb="FFFFFAF0"/>
      </patternFill>
    </fill>
  </fills>
  <borders count="11">
    <border>
      <left/>
      <right/>
      <top/>
      <bottom/>
      <diagonal/>
    </border>
    <border>
      <left style="medium">
        <color rgb="FFFEA712"/>
      </left>
      <right style="medium">
        <color rgb="FFFEA712"/>
      </right>
      <top style="medium">
        <color rgb="FFFEA712"/>
      </top>
      <bottom style="medium">
        <color rgb="FFFEA712"/>
      </bottom>
    </border>
    <border>
      <left/>
      <right/>
      <top style="medium">
        <color rgb="FFFEA712"/>
      </top>
      <bottom/>
      <diagonal/>
    </border>
    <border>
      <left/>
      <right style="medium">
        <color rgb="FFFEA712"/>
      </right>
      <top style="medium">
        <color rgb="FFFEA712"/>
      </top>
      <bottom/>
      <diagonal/>
    </border>
    <border>
      <left/>
      <right/>
      <top style="medium">
        <color rgb="FFFEA712"/>
      </top>
      <bottom style="medium">
        <color rgb="FFFEA712"/>
      </bottom>
      <diagonal/>
    </border>
    <border>
      <left/>
      <right style="medium">
        <color rgb="FFFEA712"/>
      </right>
      <top style="medium">
        <color rgb="FFFEA712"/>
      </top>
      <bottom style="medium">
        <color rgb="FFFEA712"/>
      </bottom>
      <diagonal/>
    </border>
    <border>
      <left style="medium">
        <color rgb="FFFEA712"/>
      </left>
      <right/>
      <top/>
      <bottom/>
      <diagonal/>
    </border>
    <border>
      <left/>
      <right style="medium">
        <color rgb="FFFEA712"/>
      </right>
      <top/>
      <bottom/>
      <diagonal/>
    </border>
    <border>
      <left style="medium">
        <color rgb="FFFEA712"/>
      </left>
      <right/>
      <top/>
      <bottom style="medium">
        <color rgb="FFFEA712"/>
      </bottom>
      <diagonal/>
    </border>
    <border>
      <left/>
      <right/>
      <top/>
      <bottom style="medium">
        <color rgb="FFFEA712"/>
      </bottom>
      <diagonal/>
    </border>
    <border>
      <left/>
      <right style="medium">
        <color rgb="FFFEA712"/>
      </right>
      <top/>
      <bottom style="medium">
        <color rgb="FFFEA712"/>
      </bottom>
      <diagonal/>
    </border>
  </borders>
  <cellStyleXfs count="1">
    <xf numFmtId="0" fontId="0" fillId="0" borderId="0"/>
  </cellStyleXfs>
  <cellXfs count="3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horizontal="center" vertical="center"/>
    </xf>
    <xf numFmtId="0" fontId="2" fillId="4" borderId="0" applyAlignment="1" pivotButton="0" quotePrefix="0" xfId="0">
      <alignment horizontal="center" vertical="center"/>
    </xf>
    <xf numFmtId="0" fontId="3" fillId="2" borderId="0" applyAlignment="1" pivotButton="0" quotePrefix="0" xfId="0">
      <alignment horizontal="left" vertical="center"/>
    </xf>
    <xf numFmtId="0" fontId="0" fillId="7" borderId="0" pivotButton="0" quotePrefix="0" xfId="0"/>
    <xf numFmtId="0" fontId="4" fillId="7" borderId="1" applyAlignment="1" pivotButton="0" quotePrefix="0" xfId="0">
      <alignment horizontal="left" vertical="center" indent="1"/>
    </xf>
    <xf numFmtId="0" fontId="5" fillId="8" borderId="0" applyAlignment="1" pivotButton="0" quotePrefix="0" xfId="0">
      <alignment horizontal="center" vertical="center"/>
    </xf>
    <xf numFmtId="0" fontId="6" fillId="9" borderId="1" applyAlignment="1" pivotButton="0" quotePrefix="0" xfId="0">
      <alignment horizontal="center" vertical="center"/>
    </xf>
    <xf numFmtId="0" fontId="7" fillId="7" borderId="0" applyAlignment="1" pivotButton="0" quotePrefix="0" xfId="0">
      <alignment horizontal="center" vertical="center"/>
    </xf>
    <xf numFmtId="0" fontId="8" fillId="7" borderId="0" applyAlignment="1" pivotButton="0" quotePrefix="0" xfId="0">
      <alignment horizontal="center" vertical="center"/>
    </xf>
    <xf numFmtId="0" fontId="9" fillId="7" borderId="0" applyAlignment="1" pivotButton="0" quotePrefix="0" xfId="0">
      <alignment horizontal="center" vertical="center"/>
    </xf>
    <xf numFmtId="0" fontId="10" fillId="10" borderId="0" applyAlignment="1" pivotButton="0" quotePrefix="0" xfId="0">
      <alignment horizontal="center" vertical="center"/>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1" fillId="2" borderId="0" applyAlignment="1" pivotButton="0" quotePrefix="0" xfId="0">
      <alignment horizontal="center" vertical="center"/>
    </xf>
    <xf numFmtId="0" fontId="12" fillId="0" borderId="0" applyAlignment="1" pivotButton="0" quotePrefix="0" xfId="0">
      <alignment horizontal="left" vertical="center" wrapText="1"/>
    </xf>
    <xf numFmtId="0" fontId="5" fillId="4" borderId="0" applyAlignment="1" pivotButton="0" quotePrefix="0" xfId="0">
      <alignment horizontal="left" vertical="center" wrapText="1"/>
    </xf>
    <xf numFmtId="0" fontId="13"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15" fillId="5" borderId="0" applyAlignment="1" pivotButton="0" quotePrefix="0" xfId="0">
      <alignment horizontal="left" vertical="center" wrapText="1"/>
    </xf>
    <xf numFmtId="0" fontId="16"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18" fillId="2" borderId="0" applyAlignment="1" pivotButton="0" quotePrefix="0" xfId="0">
      <alignment horizontal="left" vertical="center" wrapText="1"/>
    </xf>
    <xf numFmtId="0" fontId="19" fillId="11"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7"/>
  <sheetViews>
    <sheetView workbookViewId="0">
      <selection activeCell="A1" sqref="A1"/>
    </sheetView>
  </sheetViews>
  <sheetFormatPr baseColWidth="8" defaultRowHeight="15"/>
  <sheetData>
    <row r="1">
      <c r="A1" t="inlineStr">
        <is>
          <t>film</t>
        </is>
      </c>
      <c r="B1" t="inlineStr">
        <is>
          <t>iso</t>
        </is>
      </c>
      <c r="C1" t="inlineStr">
        <is>
          <t>dev</t>
        </is>
      </c>
      <c r="D1" t="inlineStr">
        <is>
          <t>dil</t>
        </is>
      </c>
      <c r="E1" t="inlineStr">
        <is>
          <t>t18</t>
        </is>
      </c>
      <c r="F1" t="inlineStr">
        <is>
          <t>t20</t>
        </is>
      </c>
      <c r="G1" t="inlineStr">
        <is>
          <t>t21</t>
        </is>
      </c>
      <c r="H1" t="inlineStr">
        <is>
          <t>t24</t>
        </is>
      </c>
      <c r="I1" t="inlineStr">
        <is>
          <t>p1</t>
        </is>
      </c>
      <c r="J1" t="inlineStr">
        <is>
          <t>p2</t>
        </is>
      </c>
      <c r="K1" t="inlineStr">
        <is>
          <t>p3</t>
        </is>
      </c>
      <c r="L1" t="inlineStr">
        <is>
          <t>src</t>
        </is>
      </c>
    </row>
    <row r="2">
      <c r="A2" t="inlineStr">
        <is>
          <t>Kodak Tri-X 400</t>
        </is>
      </c>
      <c r="B2" t="n">
        <v>400</v>
      </c>
      <c r="C2" t="inlineStr">
        <is>
          <t>D-76</t>
        </is>
      </c>
      <c r="D2" t="inlineStr">
        <is>
          <t>Stock</t>
        </is>
      </c>
      <c r="F2" t="n">
        <v>9.5</v>
      </c>
      <c r="I2" t="n">
        <v>12.75</v>
      </c>
      <c r="J2" t="n">
        <v>17.5</v>
      </c>
      <c r="K2" t="n">
        <v>23</v>
      </c>
      <c r="L2" t="inlineStr">
        <is>
          <t>Kodak F-4017</t>
        </is>
      </c>
    </row>
    <row r="3">
      <c r="A3" t="inlineStr">
        <is>
          <t>Kodak Tri-X 400</t>
        </is>
      </c>
      <c r="B3" t="n">
        <v>400</v>
      </c>
      <c r="C3" t="inlineStr">
        <is>
          <t>D-76</t>
        </is>
      </c>
      <c r="D3" t="inlineStr">
        <is>
          <t>1+1</t>
        </is>
      </c>
      <c r="F3" t="n">
        <v>13.25</v>
      </c>
      <c r="I3" t="n">
        <v>16</v>
      </c>
      <c r="J3" t="n">
        <v>17.5</v>
      </c>
      <c r="K3" t="n">
        <v>23</v>
      </c>
      <c r="L3" t="inlineStr">
        <is>
          <t>Kodak F-4017</t>
        </is>
      </c>
    </row>
    <row r="4">
      <c r="A4" t="inlineStr">
        <is>
          <t>Kodak Tri-X 400</t>
        </is>
      </c>
      <c r="B4" t="n">
        <v>400</v>
      </c>
      <c r="C4" t="inlineStr">
        <is>
          <t>HC-110</t>
        </is>
      </c>
      <c r="D4" t="inlineStr">
        <is>
          <t>Dil. B (1+31)</t>
        </is>
      </c>
      <c r="F4" t="n">
        <v>6</v>
      </c>
      <c r="I4" t="n">
        <v>8</v>
      </c>
      <c r="J4" t="n">
        <v>10.5</v>
      </c>
      <c r="K4" t="n">
        <v>13.5</v>
      </c>
      <c r="L4" t="inlineStr">
        <is>
          <t>Kodak J-24</t>
        </is>
      </c>
    </row>
    <row r="5">
      <c r="A5" t="inlineStr">
        <is>
          <t>Kodak Tri-X 400</t>
        </is>
      </c>
      <c r="B5" t="n">
        <v>400</v>
      </c>
      <c r="C5" t="inlineStr">
        <is>
          <t>XTOL</t>
        </is>
      </c>
      <c r="D5" t="inlineStr">
        <is>
          <t>Stock</t>
        </is>
      </c>
      <c r="F5" t="n">
        <v>9.75</v>
      </c>
      <c r="I5" t="n">
        <v>11.5</v>
      </c>
      <c r="J5" t="n">
        <v>12</v>
      </c>
      <c r="K5" t="n">
        <v>15.5</v>
      </c>
      <c r="L5" t="inlineStr">
        <is>
          <t>Kodak F-4017</t>
        </is>
      </c>
    </row>
    <row r="6">
      <c r="A6" t="inlineStr">
        <is>
          <t>Kodak Tri-X 400</t>
        </is>
      </c>
      <c r="B6" t="n">
        <v>400</v>
      </c>
      <c r="C6" t="inlineStr">
        <is>
          <t>XTOL</t>
        </is>
      </c>
      <c r="D6" t="inlineStr">
        <is>
          <t>1+1</t>
        </is>
      </c>
      <c r="F6" t="n">
        <v>13.25</v>
      </c>
      <c r="I6" t="n">
        <v>15.5</v>
      </c>
      <c r="J6" t="n">
        <v>20</v>
      </c>
      <c r="K6" t="n">
        <v>26</v>
      </c>
      <c r="L6" t="inlineStr">
        <is>
          <t>Kodak F-4017</t>
        </is>
      </c>
    </row>
    <row r="7">
      <c r="A7" t="inlineStr">
        <is>
          <t>Kodak Tri-X 400</t>
        </is>
      </c>
      <c r="B7" t="n">
        <v>400</v>
      </c>
      <c r="C7" t="inlineStr">
        <is>
          <t>Microdol-X</t>
        </is>
      </c>
      <c r="D7" t="inlineStr">
        <is>
          <t>Stock</t>
        </is>
      </c>
      <c r="F7" t="n">
        <v>10</v>
      </c>
      <c r="I7" t="n">
        <v>13</v>
      </c>
      <c r="J7" t="n">
        <v>17</v>
      </c>
      <c r="K7" t="n">
        <v>22</v>
      </c>
      <c r="L7" t="inlineStr">
        <is>
          <t>Kodak F-4017</t>
        </is>
      </c>
    </row>
    <row r="8">
      <c r="A8" t="inlineStr">
        <is>
          <t>Kodak Tri-X 400</t>
        </is>
      </c>
      <c r="B8" t="n">
        <v>400</v>
      </c>
      <c r="C8" t="inlineStr">
        <is>
          <t>T-MAX RS</t>
        </is>
      </c>
      <c r="D8" t="inlineStr">
        <is>
          <t>1+4</t>
        </is>
      </c>
      <c r="F8" t="n">
        <v>8.5</v>
      </c>
      <c r="I8" t="n">
        <v>11</v>
      </c>
      <c r="J8" t="n">
        <v>13</v>
      </c>
      <c r="K8" t="n">
        <v>17</v>
      </c>
      <c r="L8" t="inlineStr">
        <is>
          <t>Kodak F-4017</t>
        </is>
      </c>
    </row>
    <row r="9">
      <c r="A9" t="inlineStr">
        <is>
          <t>Kodak T-MAX 100</t>
        </is>
      </c>
      <c r="B9" t="n">
        <v>100</v>
      </c>
      <c r="C9" t="inlineStr">
        <is>
          <t>D-76</t>
        </is>
      </c>
      <c r="D9" t="inlineStr">
        <is>
          <t>Stock</t>
        </is>
      </c>
      <c r="F9" t="n">
        <v>8</v>
      </c>
      <c r="I9" t="n">
        <v>10</v>
      </c>
      <c r="J9" t="n">
        <v>12.5</v>
      </c>
      <c r="K9" t="n">
        <v>15.5</v>
      </c>
      <c r="L9" t="inlineStr">
        <is>
          <t>Kodak F-4016</t>
        </is>
      </c>
    </row>
    <row r="10">
      <c r="A10" t="inlineStr">
        <is>
          <t>Kodak T-MAX 100</t>
        </is>
      </c>
      <c r="B10" t="n">
        <v>100</v>
      </c>
      <c r="C10" t="inlineStr">
        <is>
          <t>D-76</t>
        </is>
      </c>
      <c r="D10" t="inlineStr">
        <is>
          <t>1+1</t>
        </is>
      </c>
      <c r="F10" t="n">
        <v>10</v>
      </c>
      <c r="I10" t="n">
        <v>12.5</v>
      </c>
      <c r="J10" t="n">
        <v>15.5</v>
      </c>
      <c r="K10" t="n">
        <v>19.5</v>
      </c>
      <c r="L10" t="inlineStr">
        <is>
          <t>Kodak F-4016</t>
        </is>
      </c>
    </row>
    <row r="11">
      <c r="A11" t="inlineStr">
        <is>
          <t>Kodak T-MAX 100</t>
        </is>
      </c>
      <c r="B11" t="n">
        <v>100</v>
      </c>
      <c r="C11" t="inlineStr">
        <is>
          <t>XTOL</t>
        </is>
      </c>
      <c r="D11" t="inlineStr">
        <is>
          <t>Stock</t>
        </is>
      </c>
      <c r="F11" t="n">
        <v>6.75</v>
      </c>
      <c r="I11" t="n">
        <v>8.5</v>
      </c>
      <c r="J11" t="n">
        <v>10.5</v>
      </c>
      <c r="K11" t="n">
        <v>13</v>
      </c>
      <c r="L11" t="inlineStr">
        <is>
          <t>Kodak F-4016</t>
        </is>
      </c>
    </row>
    <row r="12">
      <c r="A12" t="inlineStr">
        <is>
          <t>Kodak T-MAX 100</t>
        </is>
      </c>
      <c r="B12" t="n">
        <v>100</v>
      </c>
      <c r="C12" t="inlineStr">
        <is>
          <t>XTOL</t>
        </is>
      </c>
      <c r="D12" t="inlineStr">
        <is>
          <t>1+1</t>
        </is>
      </c>
      <c r="F12" t="n">
        <v>9</v>
      </c>
      <c r="I12" t="n">
        <v>11</v>
      </c>
      <c r="J12" t="n">
        <v>14</v>
      </c>
      <c r="K12" t="n">
        <v>17.5</v>
      </c>
      <c r="L12" t="inlineStr">
        <is>
          <t>Kodak F-4016</t>
        </is>
      </c>
    </row>
    <row r="13">
      <c r="A13" t="inlineStr">
        <is>
          <t>Kodak T-MAX 100</t>
        </is>
      </c>
      <c r="B13" t="n">
        <v>100</v>
      </c>
      <c r="C13" t="inlineStr">
        <is>
          <t>HC-110</t>
        </is>
      </c>
      <c r="D13" t="inlineStr">
        <is>
          <t>Dil. B (1+31)</t>
        </is>
      </c>
      <c r="F13" t="n">
        <v>6.5</v>
      </c>
      <c r="I13" t="n">
        <v>8</v>
      </c>
      <c r="J13" t="n">
        <v>10</v>
      </c>
      <c r="K13" t="n">
        <v>12.5</v>
      </c>
      <c r="L13" t="inlineStr">
        <is>
          <t>Kodak J-24</t>
        </is>
      </c>
    </row>
    <row r="14">
      <c r="A14" t="inlineStr">
        <is>
          <t>Kodak T-MAX 100</t>
        </is>
      </c>
      <c r="B14" t="n">
        <v>100</v>
      </c>
      <c r="C14" t="inlineStr">
        <is>
          <t>T-MAX RS</t>
        </is>
      </c>
      <c r="D14" t="inlineStr">
        <is>
          <t>1+4</t>
        </is>
      </c>
      <c r="F14" t="n">
        <v>5</v>
      </c>
      <c r="I14" t="n">
        <v>6</v>
      </c>
      <c r="J14" t="n">
        <v>7.5</v>
      </c>
      <c r="K14" t="n">
        <v>9.5</v>
      </c>
      <c r="L14" t="inlineStr">
        <is>
          <t>Kodak F-4016</t>
        </is>
      </c>
    </row>
    <row r="15">
      <c r="A15" t="inlineStr">
        <is>
          <t>Kodak T-MAX 100</t>
        </is>
      </c>
      <c r="B15" t="n">
        <v>100</v>
      </c>
      <c r="C15" t="inlineStr">
        <is>
          <t>Microdol-X</t>
        </is>
      </c>
      <c r="D15" t="inlineStr">
        <is>
          <t>Stock</t>
        </is>
      </c>
      <c r="F15" t="n">
        <v>10</v>
      </c>
      <c r="I15" t="n">
        <v>12.5</v>
      </c>
      <c r="J15" t="n">
        <v>15.5</v>
      </c>
      <c r="K15" t="n">
        <v>19.5</v>
      </c>
      <c r="L15" t="inlineStr">
        <is>
          <t>Kodak F-4016</t>
        </is>
      </c>
    </row>
    <row r="16">
      <c r="A16" t="inlineStr">
        <is>
          <t>Kodak T-MAX 400</t>
        </is>
      </c>
      <c r="B16" t="n">
        <v>400</v>
      </c>
      <c r="C16" t="inlineStr">
        <is>
          <t>D-76</t>
        </is>
      </c>
      <c r="D16" t="inlineStr">
        <is>
          <t>Stock</t>
        </is>
      </c>
      <c r="F16" t="n">
        <v>8</v>
      </c>
      <c r="I16" t="n">
        <v>10.5</v>
      </c>
      <c r="J16" t="n">
        <v>13</v>
      </c>
      <c r="K16" t="n">
        <v>16</v>
      </c>
      <c r="L16" t="inlineStr">
        <is>
          <t>Kodak F-4043</t>
        </is>
      </c>
    </row>
    <row r="17">
      <c r="A17" t="inlineStr">
        <is>
          <t>Kodak T-MAX 400</t>
        </is>
      </c>
      <c r="B17" t="n">
        <v>400</v>
      </c>
      <c r="C17" t="inlineStr">
        <is>
          <t>D-76</t>
        </is>
      </c>
      <c r="D17" t="inlineStr">
        <is>
          <t>1+1</t>
        </is>
      </c>
      <c r="F17" t="n">
        <v>11</v>
      </c>
      <c r="I17" t="n">
        <v>13.5</v>
      </c>
      <c r="J17" t="n">
        <v>16</v>
      </c>
      <c r="K17" t="n">
        <v>20</v>
      </c>
      <c r="L17" t="inlineStr">
        <is>
          <t>Kodak F-4043</t>
        </is>
      </c>
    </row>
    <row r="18">
      <c r="A18" t="inlineStr">
        <is>
          <t>Kodak T-MAX 400</t>
        </is>
      </c>
      <c r="B18" t="n">
        <v>400</v>
      </c>
      <c r="C18" t="inlineStr">
        <is>
          <t>XTOL</t>
        </is>
      </c>
      <c r="D18" t="inlineStr">
        <is>
          <t>Stock</t>
        </is>
      </c>
      <c r="F18" t="n">
        <v>6.75</v>
      </c>
      <c r="I18" t="n">
        <v>8.5</v>
      </c>
      <c r="J18" t="n">
        <v>10</v>
      </c>
      <c r="K18" t="n">
        <v>12.5</v>
      </c>
      <c r="L18" t="inlineStr">
        <is>
          <t>Kodak F-4043</t>
        </is>
      </c>
    </row>
    <row r="19">
      <c r="A19" t="inlineStr">
        <is>
          <t>Kodak T-MAX 400</t>
        </is>
      </c>
      <c r="B19" t="n">
        <v>400</v>
      </c>
      <c r="C19" t="inlineStr">
        <is>
          <t>XTOL</t>
        </is>
      </c>
      <c r="D19" t="inlineStr">
        <is>
          <t>1+1</t>
        </is>
      </c>
      <c r="F19" t="n">
        <v>9</v>
      </c>
      <c r="I19" t="n">
        <v>11</v>
      </c>
      <c r="J19" t="n">
        <v>13</v>
      </c>
      <c r="K19" t="n">
        <v>16</v>
      </c>
      <c r="L19" t="inlineStr">
        <is>
          <t>Kodak F-4043</t>
        </is>
      </c>
    </row>
    <row r="20">
      <c r="A20" t="inlineStr">
        <is>
          <t>Kodak T-MAX 400</t>
        </is>
      </c>
      <c r="B20" t="n">
        <v>400</v>
      </c>
      <c r="C20" t="inlineStr">
        <is>
          <t>HC-110</t>
        </is>
      </c>
      <c r="D20" t="inlineStr">
        <is>
          <t>Dil. B (1+31)</t>
        </is>
      </c>
      <c r="F20" t="n">
        <v>6</v>
      </c>
      <c r="I20" t="n">
        <v>7.5</v>
      </c>
      <c r="J20" t="n">
        <v>9.5</v>
      </c>
      <c r="K20" t="n">
        <v>12</v>
      </c>
      <c r="L20" t="inlineStr">
        <is>
          <t>Kodak J-24</t>
        </is>
      </c>
    </row>
    <row r="21">
      <c r="A21" t="inlineStr">
        <is>
          <t>Kodak T-MAX 400</t>
        </is>
      </c>
      <c r="B21" t="n">
        <v>400</v>
      </c>
      <c r="C21" t="inlineStr">
        <is>
          <t>T-MAX RS</t>
        </is>
      </c>
      <c r="D21" t="inlineStr">
        <is>
          <t>1+4</t>
        </is>
      </c>
      <c r="F21" t="n">
        <v>5</v>
      </c>
      <c r="I21" t="n">
        <v>7</v>
      </c>
      <c r="J21" t="n">
        <v>9</v>
      </c>
      <c r="K21" t="n">
        <v>11</v>
      </c>
      <c r="L21" t="inlineStr">
        <is>
          <t>Kodak F-4043</t>
        </is>
      </c>
    </row>
    <row r="22">
      <c r="A22" t="inlineStr">
        <is>
          <t>Kodak T-MAX 400</t>
        </is>
      </c>
      <c r="B22" t="n">
        <v>400</v>
      </c>
      <c r="C22" t="inlineStr">
        <is>
          <t>Microdol-X</t>
        </is>
      </c>
      <c r="D22" t="inlineStr">
        <is>
          <t>Stock</t>
        </is>
      </c>
      <c r="F22" t="n">
        <v>11</v>
      </c>
      <c r="I22" t="n">
        <v>14</v>
      </c>
      <c r="J22" t="n">
        <v>17.5</v>
      </c>
      <c r="K22" t="n">
        <v>22</v>
      </c>
      <c r="L22" t="inlineStr">
        <is>
          <t>Kodak F-4043</t>
        </is>
      </c>
    </row>
    <row r="23">
      <c r="A23" t="inlineStr">
        <is>
          <t>Kodak Plus-X 125</t>
        </is>
      </c>
      <c r="B23" t="n">
        <v>125</v>
      </c>
      <c r="C23" t="inlineStr">
        <is>
          <t>D-76</t>
        </is>
      </c>
      <c r="D23" t="inlineStr">
        <is>
          <t>Stock</t>
        </is>
      </c>
      <c r="F23" t="n">
        <v>8</v>
      </c>
      <c r="I23" t="n">
        <v>10.5</v>
      </c>
      <c r="J23" t="n">
        <v>13.5</v>
      </c>
      <c r="K23" t="n">
        <v>17.5</v>
      </c>
      <c r="L23" t="inlineStr">
        <is>
          <t>Kodak F-4017</t>
        </is>
      </c>
    </row>
    <row r="24">
      <c r="A24" t="inlineStr">
        <is>
          <t>Kodak Plus-X 125</t>
        </is>
      </c>
      <c r="B24" t="n">
        <v>125</v>
      </c>
      <c r="C24" t="inlineStr">
        <is>
          <t>HC-110</t>
        </is>
      </c>
      <c r="D24" t="inlineStr">
        <is>
          <t>Dil. B (1+31)</t>
        </is>
      </c>
      <c r="F24" t="n">
        <v>7</v>
      </c>
      <c r="I24" t="n">
        <v>9</v>
      </c>
      <c r="J24" t="n">
        <v>11.5</v>
      </c>
      <c r="K24" t="n">
        <v>15</v>
      </c>
      <c r="L24" t="inlineStr">
        <is>
          <t>Kodak J-24</t>
        </is>
      </c>
    </row>
    <row r="25">
      <c r="A25" t="inlineStr">
        <is>
          <t>Ilford HP5 Plus</t>
        </is>
      </c>
      <c r="B25" t="n">
        <v>400</v>
      </c>
      <c r="C25" t="inlineStr">
        <is>
          <t>ID-11</t>
        </is>
      </c>
      <c r="D25" t="inlineStr">
        <is>
          <t>Stock</t>
        </is>
      </c>
      <c r="F25" t="n">
        <v>6.5</v>
      </c>
      <c r="I25" t="n">
        <v>8.5</v>
      </c>
      <c r="J25" t="n">
        <v>11</v>
      </c>
      <c r="K25" t="n">
        <v>15</v>
      </c>
      <c r="L25" t="inlineStr">
        <is>
          <t>Ilford chart</t>
        </is>
      </c>
    </row>
    <row r="26">
      <c r="A26" t="inlineStr">
        <is>
          <t>Ilford HP5 Plus</t>
        </is>
      </c>
      <c r="B26" t="n">
        <v>400</v>
      </c>
      <c r="C26" t="inlineStr">
        <is>
          <t>ID-11</t>
        </is>
      </c>
      <c r="D26" t="inlineStr">
        <is>
          <t>1+1</t>
        </is>
      </c>
      <c r="F26" t="n">
        <v>9.5</v>
      </c>
      <c r="I26" t="n">
        <v>12</v>
      </c>
      <c r="J26" t="n">
        <v>15.5</v>
      </c>
      <c r="K26" t="n">
        <v>20</v>
      </c>
      <c r="L26" t="inlineStr">
        <is>
          <t>Ilford chart</t>
        </is>
      </c>
    </row>
    <row r="27">
      <c r="A27" t="inlineStr">
        <is>
          <t>Ilford HP5 Plus</t>
        </is>
      </c>
      <c r="B27" t="n">
        <v>400</v>
      </c>
      <c r="C27" t="inlineStr">
        <is>
          <t>ID-11</t>
        </is>
      </c>
      <c r="D27" t="inlineStr">
        <is>
          <t>1+3</t>
        </is>
      </c>
      <c r="F27" t="n">
        <v>14</v>
      </c>
      <c r="I27" t="n">
        <v>18</v>
      </c>
      <c r="J27" t="n">
        <v>23.5</v>
      </c>
      <c r="K27" t="n">
        <v>30.5</v>
      </c>
      <c r="L27" t="inlineStr">
        <is>
          <t>Ilford chart</t>
        </is>
      </c>
    </row>
    <row r="28">
      <c r="A28" t="inlineStr">
        <is>
          <t>Ilford HP5 Plus</t>
        </is>
      </c>
      <c r="B28" t="n">
        <v>400</v>
      </c>
      <c r="C28" t="inlineStr">
        <is>
          <t>Microphen</t>
        </is>
      </c>
      <c r="D28" t="inlineStr">
        <is>
          <t>Stock</t>
        </is>
      </c>
      <c r="F28" t="n">
        <v>5.5</v>
      </c>
      <c r="I28" t="n">
        <v>7</v>
      </c>
      <c r="J28" t="n">
        <v>9.5</v>
      </c>
      <c r="K28" t="n">
        <v>13</v>
      </c>
      <c r="L28" t="inlineStr">
        <is>
          <t>Ilford chart</t>
        </is>
      </c>
    </row>
    <row r="29">
      <c r="A29" t="inlineStr">
        <is>
          <t>Ilford HP5 Plus</t>
        </is>
      </c>
      <c r="B29" t="n">
        <v>400</v>
      </c>
      <c r="C29" t="inlineStr">
        <is>
          <t>Microphen</t>
        </is>
      </c>
      <c r="D29" t="inlineStr">
        <is>
          <t>1+1</t>
        </is>
      </c>
      <c r="F29" t="n">
        <v>8</v>
      </c>
      <c r="I29" t="n">
        <v>10.5</v>
      </c>
      <c r="J29" t="n">
        <v>13.5</v>
      </c>
      <c r="K29" t="n">
        <v>18</v>
      </c>
      <c r="L29" t="inlineStr">
        <is>
          <t>Ilford chart</t>
        </is>
      </c>
    </row>
    <row r="30">
      <c r="A30" t="inlineStr">
        <is>
          <t>Ilford HP5 Plus</t>
        </is>
      </c>
      <c r="B30" t="n">
        <v>400</v>
      </c>
      <c r="C30" t="inlineStr">
        <is>
          <t>Perceptol</t>
        </is>
      </c>
      <c r="D30" t="inlineStr">
        <is>
          <t>Stock</t>
        </is>
      </c>
      <c r="F30" t="n">
        <v>9.5</v>
      </c>
      <c r="I30" t="n">
        <v>12</v>
      </c>
      <c r="J30" t="n">
        <v>16</v>
      </c>
      <c r="K30" t="n">
        <v>21</v>
      </c>
      <c r="L30" t="inlineStr">
        <is>
          <t>Ilford chart</t>
        </is>
      </c>
    </row>
    <row r="31">
      <c r="A31" t="inlineStr">
        <is>
          <t>Ilford HP5 Plus</t>
        </is>
      </c>
      <c r="B31" t="n">
        <v>400</v>
      </c>
      <c r="C31" t="inlineStr">
        <is>
          <t>Perceptol</t>
        </is>
      </c>
      <c r="D31" t="inlineStr">
        <is>
          <t>1+1</t>
        </is>
      </c>
      <c r="F31" t="n">
        <v>13</v>
      </c>
      <c r="I31" t="n">
        <v>17</v>
      </c>
      <c r="J31" t="n">
        <v>22</v>
      </c>
      <c r="K31" t="n">
        <v>28.5</v>
      </c>
      <c r="L31" t="inlineStr">
        <is>
          <t>Ilford chart</t>
        </is>
      </c>
    </row>
    <row r="32">
      <c r="A32" t="inlineStr">
        <is>
          <t>Ilford HP5 Plus</t>
        </is>
      </c>
      <c r="B32" t="n">
        <v>400</v>
      </c>
      <c r="C32" t="inlineStr">
        <is>
          <t>Ilfotec HC</t>
        </is>
      </c>
      <c r="D32" t="inlineStr">
        <is>
          <t>1+15 (Dil.A)</t>
        </is>
      </c>
      <c r="F32" t="n">
        <v>5.5</v>
      </c>
      <c r="I32" t="n">
        <v>7.5</v>
      </c>
      <c r="J32" t="n">
        <v>10</v>
      </c>
      <c r="K32" t="n">
        <v>14</v>
      </c>
      <c r="L32" t="inlineStr">
        <is>
          <t>Ilford chart</t>
        </is>
      </c>
    </row>
    <row r="33">
      <c r="A33" t="inlineStr">
        <is>
          <t>Ilford HP5 Plus</t>
        </is>
      </c>
      <c r="B33" t="n">
        <v>400</v>
      </c>
      <c r="C33" t="inlineStr">
        <is>
          <t>Ilfotec HC</t>
        </is>
      </c>
      <c r="D33" t="inlineStr">
        <is>
          <t>1+31 (Dil.B)</t>
        </is>
      </c>
      <c r="F33" t="n">
        <v>8</v>
      </c>
      <c r="I33" t="n">
        <v>10.5</v>
      </c>
      <c r="J33" t="n">
        <v>14</v>
      </c>
      <c r="K33" t="n">
        <v>19</v>
      </c>
      <c r="L33" t="inlineStr">
        <is>
          <t>Ilford chart</t>
        </is>
      </c>
    </row>
    <row r="34">
      <c r="A34" t="inlineStr">
        <is>
          <t>Ilford HP5 Plus</t>
        </is>
      </c>
      <c r="B34" t="n">
        <v>400</v>
      </c>
      <c r="C34" t="inlineStr">
        <is>
          <t>Ilfotec DD-X</t>
        </is>
      </c>
      <c r="D34" t="inlineStr">
        <is>
          <t>1+4</t>
        </is>
      </c>
      <c r="F34" t="n">
        <v>9</v>
      </c>
      <c r="I34" t="n">
        <v>11</v>
      </c>
      <c r="J34" t="n">
        <v>13.5</v>
      </c>
      <c r="K34" t="n">
        <v>18</v>
      </c>
      <c r="L34" t="inlineStr">
        <is>
          <t>Ilford chart</t>
        </is>
      </c>
    </row>
    <row r="35">
      <c r="A35" t="inlineStr">
        <is>
          <t>Ilford HP5 Plus</t>
        </is>
      </c>
      <c r="B35" t="n">
        <v>400</v>
      </c>
      <c r="C35" t="inlineStr">
        <is>
          <t>Ilfosol 3</t>
        </is>
      </c>
      <c r="D35" t="inlineStr">
        <is>
          <t>1+9</t>
        </is>
      </c>
      <c r="F35" t="n">
        <v>5.5</v>
      </c>
      <c r="I35" t="n">
        <v>7.5</v>
      </c>
      <c r="J35" t="n">
        <v>10.5</v>
      </c>
      <c r="K35" t="n">
        <v>14</v>
      </c>
      <c r="L35" t="inlineStr">
        <is>
          <t>Ilford chart</t>
        </is>
      </c>
    </row>
    <row r="36">
      <c r="A36" t="inlineStr">
        <is>
          <t>Ilford HP5 Plus</t>
        </is>
      </c>
      <c r="B36" t="n">
        <v>400</v>
      </c>
      <c r="C36" t="inlineStr">
        <is>
          <t>Ilfosol 3</t>
        </is>
      </c>
      <c r="D36" t="inlineStr">
        <is>
          <t>1+14</t>
        </is>
      </c>
      <c r="F36" t="n">
        <v>8</v>
      </c>
      <c r="I36" t="n">
        <v>11</v>
      </c>
      <c r="J36" t="n">
        <v>16</v>
      </c>
      <c r="K36" t="n">
        <v>21</v>
      </c>
      <c r="L36" t="inlineStr">
        <is>
          <t>Ilford chart</t>
        </is>
      </c>
    </row>
    <row r="37">
      <c r="A37" t="inlineStr">
        <is>
          <t>Ilford HP5 Plus</t>
        </is>
      </c>
      <c r="B37" t="n">
        <v>400</v>
      </c>
      <c r="C37" t="inlineStr">
        <is>
          <t>Ilfotec LC29</t>
        </is>
      </c>
      <c r="D37" t="inlineStr">
        <is>
          <t>1+19</t>
        </is>
      </c>
      <c r="F37" t="n">
        <v>5</v>
      </c>
      <c r="I37" t="n">
        <v>7</v>
      </c>
      <c r="J37" t="n">
        <v>9</v>
      </c>
      <c r="K37" t="n">
        <v>12</v>
      </c>
      <c r="L37" t="inlineStr">
        <is>
          <t>Ilford chart</t>
        </is>
      </c>
    </row>
    <row r="38">
      <c r="A38" t="inlineStr">
        <is>
          <t>Ilford HP5 Plus</t>
        </is>
      </c>
      <c r="B38" t="n">
        <v>400</v>
      </c>
      <c r="C38" t="inlineStr">
        <is>
          <t>Ilfotec LC29</t>
        </is>
      </c>
      <c r="D38" t="inlineStr">
        <is>
          <t>1+29</t>
        </is>
      </c>
      <c r="F38" t="n">
        <v>8.5</v>
      </c>
      <c r="I38" t="n">
        <v>11</v>
      </c>
      <c r="J38" t="n">
        <v>15</v>
      </c>
      <c r="K38" t="n">
        <v>19.5</v>
      </c>
      <c r="L38" t="inlineStr">
        <is>
          <t>Ilford chart</t>
        </is>
      </c>
    </row>
    <row r="39">
      <c r="A39" t="inlineStr">
        <is>
          <t>Ilford HP5 Plus</t>
        </is>
      </c>
      <c r="B39" t="n">
        <v>400</v>
      </c>
      <c r="C39" t="inlineStr">
        <is>
          <t>Rodinal</t>
        </is>
      </c>
      <c r="D39" t="inlineStr">
        <is>
          <t>1+25</t>
        </is>
      </c>
      <c r="F39" t="n">
        <v>9</v>
      </c>
      <c r="I39" t="n">
        <v>12</v>
      </c>
      <c r="J39" t="n">
        <v>18</v>
      </c>
      <c r="K39" t="n">
        <v>23.5</v>
      </c>
      <c r="L39" t="inlineStr">
        <is>
          <t>Ilford chart</t>
        </is>
      </c>
    </row>
    <row r="40">
      <c r="A40" t="inlineStr">
        <is>
          <t>Ilford HP5 Plus</t>
        </is>
      </c>
      <c r="B40" t="n">
        <v>400</v>
      </c>
      <c r="C40" t="inlineStr">
        <is>
          <t>Rodinal</t>
        </is>
      </c>
      <c r="D40" t="inlineStr">
        <is>
          <t>1+50</t>
        </is>
      </c>
      <c r="F40" t="n">
        <v>15</v>
      </c>
      <c r="I40" t="n">
        <v>19.5</v>
      </c>
      <c r="J40" t="n">
        <v>25.5</v>
      </c>
      <c r="K40" t="n">
        <v>33</v>
      </c>
      <c r="L40" t="inlineStr">
        <is>
          <t>Ilford chart</t>
        </is>
      </c>
    </row>
    <row r="41">
      <c r="A41" t="inlineStr">
        <is>
          <t>Ilford HP5 Plus</t>
        </is>
      </c>
      <c r="B41" t="n">
        <v>400</v>
      </c>
      <c r="C41" t="inlineStr">
        <is>
          <t>XTOL</t>
        </is>
      </c>
      <c r="D41" t="inlineStr">
        <is>
          <t>Stock</t>
        </is>
      </c>
      <c r="F41" t="n">
        <v>8.5</v>
      </c>
      <c r="I41" t="n">
        <v>11</v>
      </c>
      <c r="J41" t="n">
        <v>13</v>
      </c>
      <c r="K41" t="n">
        <v>17</v>
      </c>
      <c r="L41" t="inlineStr">
        <is>
          <t>Ilford chart</t>
        </is>
      </c>
    </row>
    <row r="42">
      <c r="A42" t="inlineStr">
        <is>
          <t>Ilford HP5 Plus</t>
        </is>
      </c>
      <c r="B42" t="n">
        <v>400</v>
      </c>
      <c r="C42" t="inlineStr">
        <is>
          <t>XTOL</t>
        </is>
      </c>
      <c r="D42" t="inlineStr">
        <is>
          <t>1+1</t>
        </is>
      </c>
      <c r="F42" t="n">
        <v>12</v>
      </c>
      <c r="I42" t="n">
        <v>15</v>
      </c>
      <c r="J42" t="n">
        <v>19.5</v>
      </c>
      <c r="K42" t="n">
        <v>25.5</v>
      </c>
      <c r="L42" t="inlineStr">
        <is>
          <t>Ilford chart</t>
        </is>
      </c>
    </row>
    <row r="43">
      <c r="A43" t="inlineStr">
        <is>
          <t>Ilford FP4 Plus</t>
        </is>
      </c>
      <c r="B43" t="n">
        <v>125</v>
      </c>
      <c r="C43" t="inlineStr">
        <is>
          <t>ID-11</t>
        </is>
      </c>
      <c r="D43" t="inlineStr">
        <is>
          <t>Stock</t>
        </is>
      </c>
      <c r="F43" t="n">
        <v>5.5</v>
      </c>
      <c r="I43" t="n">
        <v>7</v>
      </c>
      <c r="J43" t="n">
        <v>9</v>
      </c>
      <c r="K43" t="n">
        <v>11.5</v>
      </c>
      <c r="L43" t="inlineStr">
        <is>
          <t>Ilford chart</t>
        </is>
      </c>
    </row>
    <row r="44">
      <c r="A44" t="inlineStr">
        <is>
          <t>Ilford FP4 Plus</t>
        </is>
      </c>
      <c r="B44" t="n">
        <v>125</v>
      </c>
      <c r="C44" t="inlineStr">
        <is>
          <t>ID-11</t>
        </is>
      </c>
      <c r="D44" t="inlineStr">
        <is>
          <t>1+1</t>
        </is>
      </c>
      <c r="F44" t="n">
        <v>8</v>
      </c>
      <c r="I44" t="n">
        <v>10.5</v>
      </c>
      <c r="J44" t="n">
        <v>13.5</v>
      </c>
      <c r="K44" t="n">
        <v>17.5</v>
      </c>
      <c r="L44" t="inlineStr">
        <is>
          <t>Ilford chart</t>
        </is>
      </c>
    </row>
    <row r="45">
      <c r="A45" t="inlineStr">
        <is>
          <t>Ilford FP4 Plus</t>
        </is>
      </c>
      <c r="B45" t="n">
        <v>125</v>
      </c>
      <c r="C45" t="inlineStr">
        <is>
          <t>ID-11</t>
        </is>
      </c>
      <c r="D45" t="inlineStr">
        <is>
          <t>1+3</t>
        </is>
      </c>
      <c r="F45" t="n">
        <v>13</v>
      </c>
      <c r="I45" t="n">
        <v>17</v>
      </c>
      <c r="J45" t="n">
        <v>22</v>
      </c>
      <c r="K45" t="n">
        <v>28.5</v>
      </c>
      <c r="L45" t="inlineStr">
        <is>
          <t>Ilford chart</t>
        </is>
      </c>
    </row>
    <row r="46">
      <c r="A46" t="inlineStr">
        <is>
          <t>Ilford FP4 Plus</t>
        </is>
      </c>
      <c r="B46" t="n">
        <v>125</v>
      </c>
      <c r="C46" t="inlineStr">
        <is>
          <t>Microphen</t>
        </is>
      </c>
      <c r="D46" t="inlineStr">
        <is>
          <t>Stock</t>
        </is>
      </c>
      <c r="F46" t="n">
        <v>5</v>
      </c>
      <c r="I46" t="n">
        <v>6.5</v>
      </c>
      <c r="J46" t="n">
        <v>8.5</v>
      </c>
      <c r="K46" t="n">
        <v>11</v>
      </c>
      <c r="L46" t="inlineStr">
        <is>
          <t>Ilford chart</t>
        </is>
      </c>
    </row>
    <row r="47">
      <c r="A47" t="inlineStr">
        <is>
          <t>Ilford FP4 Plus</t>
        </is>
      </c>
      <c r="B47" t="n">
        <v>125</v>
      </c>
      <c r="C47" t="inlineStr">
        <is>
          <t>Microphen</t>
        </is>
      </c>
      <c r="D47" t="inlineStr">
        <is>
          <t>1+1</t>
        </is>
      </c>
      <c r="F47" t="n">
        <v>8</v>
      </c>
      <c r="I47" t="n">
        <v>10.5</v>
      </c>
      <c r="J47" t="n">
        <v>13.5</v>
      </c>
      <c r="K47" t="n">
        <v>17.5</v>
      </c>
      <c r="L47" t="inlineStr">
        <is>
          <t>Ilford chart</t>
        </is>
      </c>
    </row>
    <row r="48">
      <c r="A48" t="inlineStr">
        <is>
          <t>Ilford FP4 Plus</t>
        </is>
      </c>
      <c r="B48" t="n">
        <v>125</v>
      </c>
      <c r="C48" t="inlineStr">
        <is>
          <t>Perceptol</t>
        </is>
      </c>
      <c r="D48" t="inlineStr">
        <is>
          <t>Stock</t>
        </is>
      </c>
      <c r="F48" t="n">
        <v>6.5</v>
      </c>
      <c r="I48" t="n">
        <v>8.5</v>
      </c>
      <c r="J48" t="n">
        <v>11</v>
      </c>
      <c r="K48" t="n">
        <v>14.5</v>
      </c>
      <c r="L48" t="inlineStr">
        <is>
          <t>Ilford chart</t>
        </is>
      </c>
    </row>
    <row r="49">
      <c r="A49" t="inlineStr">
        <is>
          <t>Ilford FP4 Plus</t>
        </is>
      </c>
      <c r="B49" t="n">
        <v>125</v>
      </c>
      <c r="C49" t="inlineStr">
        <is>
          <t>Perceptol</t>
        </is>
      </c>
      <c r="D49" t="inlineStr">
        <is>
          <t>1+1</t>
        </is>
      </c>
      <c r="F49" t="n">
        <v>10</v>
      </c>
      <c r="I49" t="n">
        <v>13</v>
      </c>
      <c r="J49" t="n">
        <v>17</v>
      </c>
      <c r="K49" t="n">
        <v>22</v>
      </c>
      <c r="L49" t="inlineStr">
        <is>
          <t>Ilford chart</t>
        </is>
      </c>
    </row>
    <row r="50">
      <c r="A50" t="inlineStr">
        <is>
          <t>Ilford FP4 Plus</t>
        </is>
      </c>
      <c r="B50" t="n">
        <v>125</v>
      </c>
      <c r="C50" t="inlineStr">
        <is>
          <t>Ilfotec HC</t>
        </is>
      </c>
      <c r="D50" t="inlineStr">
        <is>
          <t>1+15 (Dil.A)</t>
        </is>
      </c>
      <c r="F50" t="n">
        <v>4.5</v>
      </c>
      <c r="I50" t="n">
        <v>6</v>
      </c>
      <c r="J50" t="n">
        <v>8</v>
      </c>
      <c r="K50" t="n">
        <v>10.5</v>
      </c>
      <c r="L50" t="inlineStr">
        <is>
          <t>Ilford chart</t>
        </is>
      </c>
    </row>
    <row r="51">
      <c r="A51" t="inlineStr">
        <is>
          <t>Ilford FP4 Plus</t>
        </is>
      </c>
      <c r="B51" t="n">
        <v>125</v>
      </c>
      <c r="C51" t="inlineStr">
        <is>
          <t>Ilfotec HC</t>
        </is>
      </c>
      <c r="D51" t="inlineStr">
        <is>
          <t>1+31 (Dil.B)</t>
        </is>
      </c>
      <c r="F51" t="n">
        <v>7</v>
      </c>
      <c r="I51" t="n">
        <v>9</v>
      </c>
      <c r="J51" t="n">
        <v>11.5</v>
      </c>
      <c r="K51" t="n">
        <v>15</v>
      </c>
      <c r="L51" t="inlineStr">
        <is>
          <t>Ilford chart</t>
        </is>
      </c>
    </row>
    <row r="52">
      <c r="A52" t="inlineStr">
        <is>
          <t>Ilford FP4 Plus</t>
        </is>
      </c>
      <c r="B52" t="n">
        <v>125</v>
      </c>
      <c r="C52" t="inlineStr">
        <is>
          <t>Ilfotec DD-X</t>
        </is>
      </c>
      <c r="D52" t="inlineStr">
        <is>
          <t>1+4</t>
        </is>
      </c>
      <c r="F52" t="n">
        <v>8</v>
      </c>
      <c r="I52" t="n">
        <v>10.5</v>
      </c>
      <c r="J52" t="n">
        <v>13.5</v>
      </c>
      <c r="K52" t="n">
        <v>17.5</v>
      </c>
      <c r="L52" t="inlineStr">
        <is>
          <t>Ilford chart</t>
        </is>
      </c>
    </row>
    <row r="53">
      <c r="A53" t="inlineStr">
        <is>
          <t>Ilford FP4 Plus</t>
        </is>
      </c>
      <c r="B53" t="n">
        <v>125</v>
      </c>
      <c r="C53" t="inlineStr">
        <is>
          <t>Ilfosol 3</t>
        </is>
      </c>
      <c r="D53" t="inlineStr">
        <is>
          <t>1+9</t>
        </is>
      </c>
      <c r="F53" t="n">
        <v>5.5</v>
      </c>
      <c r="I53" t="n">
        <v>7</v>
      </c>
      <c r="J53" t="n">
        <v>9</v>
      </c>
      <c r="K53" t="n">
        <v>11.5</v>
      </c>
      <c r="L53" t="inlineStr">
        <is>
          <t>Ilford chart</t>
        </is>
      </c>
    </row>
    <row r="54">
      <c r="A54" t="inlineStr">
        <is>
          <t>Ilford FP4 Plus</t>
        </is>
      </c>
      <c r="B54" t="n">
        <v>125</v>
      </c>
      <c r="C54" t="inlineStr">
        <is>
          <t>Ilfotec LC29</t>
        </is>
      </c>
      <c r="D54" t="inlineStr">
        <is>
          <t>1+19</t>
        </is>
      </c>
      <c r="F54" t="n">
        <v>5</v>
      </c>
      <c r="I54" t="n">
        <v>6.5</v>
      </c>
      <c r="J54" t="n">
        <v>8.5</v>
      </c>
      <c r="K54" t="n">
        <v>11</v>
      </c>
      <c r="L54" t="inlineStr">
        <is>
          <t>Ilford chart</t>
        </is>
      </c>
    </row>
    <row r="55">
      <c r="A55" t="inlineStr">
        <is>
          <t>Ilford FP4 Plus</t>
        </is>
      </c>
      <c r="B55" t="n">
        <v>125</v>
      </c>
      <c r="C55" t="inlineStr">
        <is>
          <t>Rodinal</t>
        </is>
      </c>
      <c r="D55" t="inlineStr">
        <is>
          <t>1+25</t>
        </is>
      </c>
      <c r="F55" t="n">
        <v>6</v>
      </c>
      <c r="I55" t="n">
        <v>8</v>
      </c>
      <c r="J55" t="n">
        <v>10.5</v>
      </c>
      <c r="K55" t="n">
        <v>13.5</v>
      </c>
      <c r="L55" t="inlineStr">
        <is>
          <t>Ilford chart</t>
        </is>
      </c>
    </row>
    <row r="56">
      <c r="A56" t="inlineStr">
        <is>
          <t>Ilford FP4 Plus</t>
        </is>
      </c>
      <c r="B56" t="n">
        <v>125</v>
      </c>
      <c r="C56" t="inlineStr">
        <is>
          <t>Rodinal</t>
        </is>
      </c>
      <c r="D56" t="inlineStr">
        <is>
          <t>1+50</t>
        </is>
      </c>
      <c r="F56" t="n">
        <v>11</v>
      </c>
      <c r="I56" t="n">
        <v>14.5</v>
      </c>
      <c r="J56" t="n">
        <v>19</v>
      </c>
      <c r="K56" t="n">
        <v>24.5</v>
      </c>
      <c r="L56" t="inlineStr">
        <is>
          <t>Ilford chart</t>
        </is>
      </c>
    </row>
    <row r="57">
      <c r="A57" t="inlineStr">
        <is>
          <t>Ilford FP4 Plus</t>
        </is>
      </c>
      <c r="B57" t="n">
        <v>125</v>
      </c>
      <c r="C57" t="inlineStr">
        <is>
          <t>XTOL</t>
        </is>
      </c>
      <c r="D57" t="inlineStr">
        <is>
          <t>Stock</t>
        </is>
      </c>
      <c r="F57" t="n">
        <v>7</v>
      </c>
      <c r="I57" t="n">
        <v>9</v>
      </c>
      <c r="J57" t="n">
        <v>11.5</v>
      </c>
      <c r="K57" t="n">
        <v>15</v>
      </c>
      <c r="L57" t="inlineStr">
        <is>
          <t>Ilford chart</t>
        </is>
      </c>
    </row>
    <row r="58">
      <c r="A58" t="inlineStr">
        <is>
          <t>Ilford FP4 Plus</t>
        </is>
      </c>
      <c r="B58" t="n">
        <v>125</v>
      </c>
      <c r="C58" t="inlineStr">
        <is>
          <t>XTOL</t>
        </is>
      </c>
      <c r="D58" t="inlineStr">
        <is>
          <t>1+1</t>
        </is>
      </c>
      <c r="F58" t="n">
        <v>9</v>
      </c>
      <c r="I58" t="n">
        <v>11.5</v>
      </c>
      <c r="J58" t="n">
        <v>15</v>
      </c>
      <c r="K58" t="n">
        <v>19.5</v>
      </c>
      <c r="L58" t="inlineStr">
        <is>
          <t>Ilford chart</t>
        </is>
      </c>
    </row>
    <row r="59">
      <c r="A59" t="inlineStr">
        <is>
          <t>Ilford FP4 Plus</t>
        </is>
      </c>
      <c r="B59" t="n">
        <v>125</v>
      </c>
      <c r="C59" t="inlineStr">
        <is>
          <t>D-76</t>
        </is>
      </c>
      <c r="D59" t="inlineStr">
        <is>
          <t>Stock</t>
        </is>
      </c>
      <c r="F59" t="n">
        <v>5.5</v>
      </c>
      <c r="I59" t="n">
        <v>7</v>
      </c>
      <c r="J59" t="n">
        <v>9</v>
      </c>
      <c r="K59" t="n">
        <v>11.5</v>
      </c>
      <c r="L59" t="inlineStr">
        <is>
          <t>Ilford chart</t>
        </is>
      </c>
    </row>
    <row r="60">
      <c r="A60" t="inlineStr">
        <is>
          <t>Ilford Delta 100</t>
        </is>
      </c>
      <c r="B60" t="n">
        <v>100</v>
      </c>
      <c r="C60" t="inlineStr">
        <is>
          <t>ID-11</t>
        </is>
      </c>
      <c r="D60" t="inlineStr">
        <is>
          <t>Stock</t>
        </is>
      </c>
      <c r="F60" t="n">
        <v>7.5</v>
      </c>
      <c r="I60" t="n">
        <v>9.5</v>
      </c>
      <c r="J60" t="n">
        <v>12</v>
      </c>
      <c r="K60" t="n">
        <v>15</v>
      </c>
      <c r="L60" t="inlineStr">
        <is>
          <t>Ilford chart</t>
        </is>
      </c>
    </row>
    <row r="61">
      <c r="A61" t="inlineStr">
        <is>
          <t>Ilford Delta 100</t>
        </is>
      </c>
      <c r="B61" t="n">
        <v>100</v>
      </c>
      <c r="C61" t="inlineStr">
        <is>
          <t>ID-11</t>
        </is>
      </c>
      <c r="D61" t="inlineStr">
        <is>
          <t>1+1</t>
        </is>
      </c>
      <c r="F61" t="n">
        <v>10.5</v>
      </c>
      <c r="I61" t="n">
        <v>13</v>
      </c>
      <c r="J61" t="n">
        <v>16</v>
      </c>
      <c r="K61" t="n">
        <v>20</v>
      </c>
      <c r="L61" t="inlineStr">
        <is>
          <t>Ilford chart</t>
        </is>
      </c>
    </row>
    <row r="62">
      <c r="A62" t="inlineStr">
        <is>
          <t>Ilford Delta 100</t>
        </is>
      </c>
      <c r="B62" t="n">
        <v>100</v>
      </c>
      <c r="C62" t="inlineStr">
        <is>
          <t>Perceptol</t>
        </is>
      </c>
      <c r="D62" t="inlineStr">
        <is>
          <t>Stock</t>
        </is>
      </c>
      <c r="F62" t="n">
        <v>9</v>
      </c>
      <c r="I62" t="n">
        <v>11</v>
      </c>
      <c r="J62" t="n">
        <v>14</v>
      </c>
      <c r="K62" t="n">
        <v>17.5</v>
      </c>
      <c r="L62" t="inlineStr">
        <is>
          <t>Ilford chart</t>
        </is>
      </c>
    </row>
    <row r="63">
      <c r="A63" t="inlineStr">
        <is>
          <t>Ilford Delta 100</t>
        </is>
      </c>
      <c r="B63" t="n">
        <v>100</v>
      </c>
      <c r="C63" t="inlineStr">
        <is>
          <t>Perceptol</t>
        </is>
      </c>
      <c r="D63" t="inlineStr">
        <is>
          <t>1+1</t>
        </is>
      </c>
      <c r="F63" t="n">
        <v>13</v>
      </c>
      <c r="I63" t="n">
        <v>16</v>
      </c>
      <c r="J63" t="n">
        <v>20</v>
      </c>
      <c r="K63" t="n">
        <v>25</v>
      </c>
      <c r="L63" t="inlineStr">
        <is>
          <t>Ilford chart</t>
        </is>
      </c>
    </row>
    <row r="64">
      <c r="A64" t="inlineStr">
        <is>
          <t>Ilford Delta 100</t>
        </is>
      </c>
      <c r="B64" t="n">
        <v>100</v>
      </c>
      <c r="C64" t="inlineStr">
        <is>
          <t>Ilfotec DD-X</t>
        </is>
      </c>
      <c r="D64" t="inlineStr">
        <is>
          <t>1+4</t>
        </is>
      </c>
      <c r="F64" t="n">
        <v>8</v>
      </c>
      <c r="I64" t="n">
        <v>10</v>
      </c>
      <c r="J64" t="n">
        <v>12.5</v>
      </c>
      <c r="K64" t="n">
        <v>15.5</v>
      </c>
      <c r="L64" t="inlineStr">
        <is>
          <t>Ilford chart</t>
        </is>
      </c>
    </row>
    <row r="65">
      <c r="A65" t="inlineStr">
        <is>
          <t>Ilford Delta 100</t>
        </is>
      </c>
      <c r="B65" t="n">
        <v>100</v>
      </c>
      <c r="C65" t="inlineStr">
        <is>
          <t>Ilfosol 3</t>
        </is>
      </c>
      <c r="D65" t="inlineStr">
        <is>
          <t>1+9</t>
        </is>
      </c>
      <c r="F65" t="n">
        <v>5</v>
      </c>
      <c r="I65" t="n">
        <v>6</v>
      </c>
      <c r="J65" t="n">
        <v>7.5</v>
      </c>
      <c r="K65" t="n">
        <v>9.5</v>
      </c>
      <c r="L65" t="inlineStr">
        <is>
          <t>Ilford chart</t>
        </is>
      </c>
    </row>
    <row r="66">
      <c r="A66" t="inlineStr">
        <is>
          <t>Ilford Delta 100</t>
        </is>
      </c>
      <c r="B66" t="n">
        <v>100</v>
      </c>
      <c r="C66" t="inlineStr">
        <is>
          <t>Rodinal</t>
        </is>
      </c>
      <c r="D66" t="inlineStr">
        <is>
          <t>1+25</t>
        </is>
      </c>
      <c r="F66" t="n">
        <v>7</v>
      </c>
      <c r="I66" t="n">
        <v>9</v>
      </c>
      <c r="J66" t="n">
        <v>11</v>
      </c>
      <c r="K66" t="n">
        <v>14</v>
      </c>
      <c r="L66" t="inlineStr">
        <is>
          <t>Ilford chart</t>
        </is>
      </c>
    </row>
    <row r="67">
      <c r="A67" t="inlineStr">
        <is>
          <t>Ilford Delta 100</t>
        </is>
      </c>
      <c r="B67" t="n">
        <v>100</v>
      </c>
      <c r="C67" t="inlineStr">
        <is>
          <t>Rodinal</t>
        </is>
      </c>
      <c r="D67" t="inlineStr">
        <is>
          <t>1+50</t>
        </is>
      </c>
      <c r="F67" t="n">
        <v>10</v>
      </c>
      <c r="I67" t="n">
        <v>12.5</v>
      </c>
      <c r="J67" t="n">
        <v>15.5</v>
      </c>
      <c r="K67" t="n">
        <v>19.5</v>
      </c>
      <c r="L67" t="inlineStr">
        <is>
          <t>Ilford chart</t>
        </is>
      </c>
    </row>
    <row r="68">
      <c r="A68" t="inlineStr">
        <is>
          <t>Ilford Delta 100</t>
        </is>
      </c>
      <c r="B68" t="n">
        <v>100</v>
      </c>
      <c r="C68" t="inlineStr">
        <is>
          <t>XTOL</t>
        </is>
      </c>
      <c r="D68" t="inlineStr">
        <is>
          <t>Stock</t>
        </is>
      </c>
      <c r="F68" t="n">
        <v>8</v>
      </c>
      <c r="I68" t="n">
        <v>10</v>
      </c>
      <c r="J68" t="n">
        <v>12.5</v>
      </c>
      <c r="K68" t="n">
        <v>15.5</v>
      </c>
      <c r="L68" t="inlineStr">
        <is>
          <t>Ilford chart</t>
        </is>
      </c>
    </row>
    <row r="69">
      <c r="A69" t="inlineStr">
        <is>
          <t>Ilford Delta 400</t>
        </is>
      </c>
      <c r="B69" t="n">
        <v>400</v>
      </c>
      <c r="C69" t="inlineStr">
        <is>
          <t>ID-11</t>
        </is>
      </c>
      <c r="D69" t="inlineStr">
        <is>
          <t>Stock</t>
        </is>
      </c>
      <c r="F69" t="n">
        <v>7</v>
      </c>
      <c r="I69" t="n">
        <v>9.5</v>
      </c>
      <c r="J69" t="n">
        <v>12</v>
      </c>
      <c r="K69" t="n">
        <v>15</v>
      </c>
      <c r="L69" t="inlineStr">
        <is>
          <t>Ilford chart</t>
        </is>
      </c>
    </row>
    <row r="70">
      <c r="A70" t="inlineStr">
        <is>
          <t>Ilford Delta 400</t>
        </is>
      </c>
      <c r="B70" t="n">
        <v>400</v>
      </c>
      <c r="C70" t="inlineStr">
        <is>
          <t>ID-11</t>
        </is>
      </c>
      <c r="D70" t="inlineStr">
        <is>
          <t>1+1</t>
        </is>
      </c>
      <c r="F70" t="n">
        <v>10</v>
      </c>
      <c r="I70" t="n">
        <v>13</v>
      </c>
      <c r="J70" t="n">
        <v>17</v>
      </c>
      <c r="K70" t="n">
        <v>21</v>
      </c>
      <c r="L70" t="inlineStr">
        <is>
          <t>Ilford chart</t>
        </is>
      </c>
    </row>
    <row r="71">
      <c r="A71" t="inlineStr">
        <is>
          <t>Ilford Delta 400</t>
        </is>
      </c>
      <c r="B71" t="n">
        <v>400</v>
      </c>
      <c r="C71" t="inlineStr">
        <is>
          <t>Microphen</t>
        </is>
      </c>
      <c r="D71" t="inlineStr">
        <is>
          <t>Stock</t>
        </is>
      </c>
      <c r="F71" t="n">
        <v>7</v>
      </c>
      <c r="I71" t="n">
        <v>9</v>
      </c>
      <c r="J71" t="n">
        <v>12</v>
      </c>
      <c r="K71" t="n">
        <v>16</v>
      </c>
      <c r="L71" t="inlineStr">
        <is>
          <t>Ilford chart</t>
        </is>
      </c>
    </row>
    <row r="72">
      <c r="A72" t="inlineStr">
        <is>
          <t>Ilford Delta 400</t>
        </is>
      </c>
      <c r="B72" t="n">
        <v>400</v>
      </c>
      <c r="C72" t="inlineStr">
        <is>
          <t>Perceptol</t>
        </is>
      </c>
      <c r="D72" t="inlineStr">
        <is>
          <t>Stock</t>
        </is>
      </c>
      <c r="F72" t="n">
        <v>11</v>
      </c>
      <c r="I72" t="n">
        <v>14</v>
      </c>
      <c r="J72" t="n">
        <v>17.5</v>
      </c>
      <c r="K72" t="n">
        <v>22</v>
      </c>
      <c r="L72" t="inlineStr">
        <is>
          <t>Ilford chart</t>
        </is>
      </c>
    </row>
    <row r="73">
      <c r="A73" t="inlineStr">
        <is>
          <t>Ilford Delta 400</t>
        </is>
      </c>
      <c r="B73" t="n">
        <v>400</v>
      </c>
      <c r="C73" t="inlineStr">
        <is>
          <t>Perceptol</t>
        </is>
      </c>
      <c r="D73" t="inlineStr">
        <is>
          <t>1+1</t>
        </is>
      </c>
      <c r="F73" t="n">
        <v>15</v>
      </c>
      <c r="I73" t="n">
        <v>19</v>
      </c>
      <c r="J73" t="n">
        <v>24</v>
      </c>
      <c r="K73" t="n">
        <v>30</v>
      </c>
      <c r="L73" t="inlineStr">
        <is>
          <t>Ilford chart</t>
        </is>
      </c>
    </row>
    <row r="74">
      <c r="A74" t="inlineStr">
        <is>
          <t>Ilford Delta 400</t>
        </is>
      </c>
      <c r="B74" t="n">
        <v>400</v>
      </c>
      <c r="C74" t="inlineStr">
        <is>
          <t>Ilfotec DD-X</t>
        </is>
      </c>
      <c r="D74" t="inlineStr">
        <is>
          <t>1+4</t>
        </is>
      </c>
      <c r="F74" t="n">
        <v>8</v>
      </c>
      <c r="I74" t="n">
        <v>10.5</v>
      </c>
      <c r="J74" t="n">
        <v>13.5</v>
      </c>
      <c r="K74" t="n">
        <v>18</v>
      </c>
      <c r="L74" t="inlineStr">
        <is>
          <t>Ilford chart</t>
        </is>
      </c>
    </row>
    <row r="75">
      <c r="A75" t="inlineStr">
        <is>
          <t>Ilford Delta 400</t>
        </is>
      </c>
      <c r="B75" t="n">
        <v>400</v>
      </c>
      <c r="C75" t="inlineStr">
        <is>
          <t>Ilfosol 3</t>
        </is>
      </c>
      <c r="D75" t="inlineStr">
        <is>
          <t>1+9</t>
        </is>
      </c>
      <c r="F75" t="n">
        <v>6</v>
      </c>
      <c r="I75" t="n">
        <v>7.5</v>
      </c>
      <c r="J75" t="n">
        <v>10</v>
      </c>
      <c r="K75" t="n">
        <v>13.5</v>
      </c>
      <c r="L75" t="inlineStr">
        <is>
          <t>Ilford chart</t>
        </is>
      </c>
    </row>
    <row r="76">
      <c r="A76" t="inlineStr">
        <is>
          <t>Ilford Delta 400</t>
        </is>
      </c>
      <c r="B76" t="n">
        <v>400</v>
      </c>
      <c r="C76" t="inlineStr">
        <is>
          <t>Rodinal</t>
        </is>
      </c>
      <c r="D76" t="inlineStr">
        <is>
          <t>1+25</t>
        </is>
      </c>
      <c r="F76" t="n">
        <v>8</v>
      </c>
      <c r="I76" t="n">
        <v>11</v>
      </c>
      <c r="J76" t="n">
        <v>15</v>
      </c>
      <c r="K76" t="n">
        <v>19</v>
      </c>
      <c r="L76" t="inlineStr">
        <is>
          <t>Ilford chart</t>
        </is>
      </c>
    </row>
    <row r="77">
      <c r="A77" t="inlineStr">
        <is>
          <t>Ilford Delta 400</t>
        </is>
      </c>
      <c r="B77" t="n">
        <v>400</v>
      </c>
      <c r="C77" t="inlineStr">
        <is>
          <t>Ilfotec HC</t>
        </is>
      </c>
      <c r="D77" t="inlineStr">
        <is>
          <t>1+31 (Dil.B)</t>
        </is>
      </c>
      <c r="F77" t="n">
        <v>7.5</v>
      </c>
      <c r="I77" t="n">
        <v>10</v>
      </c>
      <c r="J77" t="n">
        <v>13.5</v>
      </c>
      <c r="K77" t="n">
        <v>18</v>
      </c>
      <c r="L77" t="inlineStr">
        <is>
          <t>Ilford chart</t>
        </is>
      </c>
    </row>
    <row r="78">
      <c r="A78" t="inlineStr">
        <is>
          <t>Ilford Delta 400</t>
        </is>
      </c>
      <c r="B78" t="n">
        <v>400</v>
      </c>
      <c r="C78" t="inlineStr">
        <is>
          <t>XTOL</t>
        </is>
      </c>
      <c r="D78" t="inlineStr">
        <is>
          <t>Stock</t>
        </is>
      </c>
      <c r="F78" t="n">
        <v>9</v>
      </c>
      <c r="I78" t="n">
        <v>11</v>
      </c>
      <c r="J78" t="n">
        <v>14</v>
      </c>
      <c r="K78" t="n">
        <v>17.5</v>
      </c>
      <c r="L78" t="inlineStr">
        <is>
          <t>Ilford chart</t>
        </is>
      </c>
    </row>
    <row r="79">
      <c r="A79" t="inlineStr">
        <is>
          <t>Ilford Delta 3200</t>
        </is>
      </c>
      <c r="B79" t="n">
        <v>3200</v>
      </c>
      <c r="C79" t="inlineStr">
        <is>
          <t>Ilfotec DD-X</t>
        </is>
      </c>
      <c r="D79" t="inlineStr">
        <is>
          <t>1+4</t>
        </is>
      </c>
      <c r="F79" t="n">
        <v>10</v>
      </c>
      <c r="I79" t="n">
        <v>14</v>
      </c>
      <c r="J79" t="n">
        <v>17.5</v>
      </c>
      <c r="K79" t="n">
        <v>22</v>
      </c>
      <c r="L79" t="inlineStr">
        <is>
          <t>Ilford chart</t>
        </is>
      </c>
    </row>
    <row r="80">
      <c r="A80" t="inlineStr">
        <is>
          <t>Ilford Delta 3200</t>
        </is>
      </c>
      <c r="B80" t="n">
        <v>3200</v>
      </c>
      <c r="C80" t="inlineStr">
        <is>
          <t>Microphen</t>
        </is>
      </c>
      <c r="D80" t="inlineStr">
        <is>
          <t>Stock</t>
        </is>
      </c>
      <c r="F80" t="n">
        <v>10</v>
      </c>
      <c r="I80" t="n">
        <v>12</v>
      </c>
      <c r="J80" t="n">
        <v>15</v>
      </c>
      <c r="K80" t="n">
        <v>19</v>
      </c>
      <c r="L80" t="inlineStr">
        <is>
          <t>Ilford chart</t>
        </is>
      </c>
    </row>
    <row r="81">
      <c r="A81" t="inlineStr">
        <is>
          <t>Ilford Delta 3200</t>
        </is>
      </c>
      <c r="B81" t="n">
        <v>3200</v>
      </c>
      <c r="C81" t="inlineStr">
        <is>
          <t>Microphen</t>
        </is>
      </c>
      <c r="D81" t="inlineStr">
        <is>
          <t>1+1</t>
        </is>
      </c>
      <c r="F81" t="n">
        <v>14</v>
      </c>
      <c r="I81" t="n">
        <v>18</v>
      </c>
      <c r="J81" t="n">
        <v>22.5</v>
      </c>
      <c r="K81" t="n">
        <v>28</v>
      </c>
      <c r="L81" t="inlineStr">
        <is>
          <t>Ilford chart</t>
        </is>
      </c>
    </row>
    <row r="82">
      <c r="A82" t="inlineStr">
        <is>
          <t>Ilford Delta 3200</t>
        </is>
      </c>
      <c r="B82" t="n">
        <v>3200</v>
      </c>
      <c r="C82" t="inlineStr">
        <is>
          <t>ID-11</t>
        </is>
      </c>
      <c r="D82" t="inlineStr">
        <is>
          <t>Stock</t>
        </is>
      </c>
      <c r="F82" t="n">
        <v>12.5</v>
      </c>
      <c r="I82" t="n">
        <v>16</v>
      </c>
      <c r="J82" t="n">
        <v>20</v>
      </c>
      <c r="K82" t="n">
        <v>25</v>
      </c>
      <c r="L82" t="inlineStr">
        <is>
          <t>Ilford chart</t>
        </is>
      </c>
    </row>
    <row r="83">
      <c r="A83" t="inlineStr">
        <is>
          <t>Ilford Delta 3200</t>
        </is>
      </c>
      <c r="B83" t="n">
        <v>3200</v>
      </c>
      <c r="C83" t="inlineStr">
        <is>
          <t>Ilfosol 3</t>
        </is>
      </c>
      <c r="D83" t="inlineStr">
        <is>
          <t>1+9</t>
        </is>
      </c>
      <c r="F83" t="n">
        <v>9</v>
      </c>
      <c r="I83" t="n">
        <v>12</v>
      </c>
      <c r="J83" t="n">
        <v>15</v>
      </c>
      <c r="K83" t="n">
        <v>19</v>
      </c>
      <c r="L83" t="inlineStr">
        <is>
          <t>Ilford chart</t>
        </is>
      </c>
    </row>
    <row r="84">
      <c r="A84" t="inlineStr">
        <is>
          <t>Ilford Pan F Plus</t>
        </is>
      </c>
      <c r="B84" t="n">
        <v>50</v>
      </c>
      <c r="C84" t="inlineStr">
        <is>
          <t>ID-11</t>
        </is>
      </c>
      <c r="D84" t="inlineStr">
        <is>
          <t>Stock</t>
        </is>
      </c>
      <c r="F84" t="n">
        <v>5.5</v>
      </c>
      <c r="I84" t="n">
        <v>7</v>
      </c>
      <c r="J84" t="n">
        <v>9</v>
      </c>
      <c r="K84" t="n">
        <v>11.5</v>
      </c>
      <c r="L84" t="inlineStr">
        <is>
          <t>Ilford chart</t>
        </is>
      </c>
    </row>
    <row r="85">
      <c r="A85" t="inlineStr">
        <is>
          <t>Ilford Pan F Plus</t>
        </is>
      </c>
      <c r="B85" t="n">
        <v>50</v>
      </c>
      <c r="C85" t="inlineStr">
        <is>
          <t>ID-11</t>
        </is>
      </c>
      <c r="D85" t="inlineStr">
        <is>
          <t>1+1</t>
        </is>
      </c>
      <c r="F85" t="n">
        <v>8</v>
      </c>
      <c r="I85" t="n">
        <v>10.5</v>
      </c>
      <c r="J85" t="n">
        <v>13.5</v>
      </c>
      <c r="K85" t="n">
        <v>17.5</v>
      </c>
      <c r="L85" t="inlineStr">
        <is>
          <t>Ilford chart</t>
        </is>
      </c>
    </row>
    <row r="86">
      <c r="A86" t="inlineStr">
        <is>
          <t>Ilford Pan F Plus</t>
        </is>
      </c>
      <c r="B86" t="n">
        <v>50</v>
      </c>
      <c r="C86" t="inlineStr">
        <is>
          <t>Microphen</t>
        </is>
      </c>
      <c r="D86" t="inlineStr">
        <is>
          <t>Stock</t>
        </is>
      </c>
      <c r="F86" t="n">
        <v>5</v>
      </c>
      <c r="I86" t="n">
        <v>6.5</v>
      </c>
      <c r="J86" t="n">
        <v>8.5</v>
      </c>
      <c r="K86" t="n">
        <v>11</v>
      </c>
      <c r="L86" t="inlineStr">
        <is>
          <t>Ilford chart</t>
        </is>
      </c>
    </row>
    <row r="87">
      <c r="A87" t="inlineStr">
        <is>
          <t>Ilford Pan F Plus</t>
        </is>
      </c>
      <c r="B87" t="n">
        <v>50</v>
      </c>
      <c r="C87" t="inlineStr">
        <is>
          <t>Perceptol</t>
        </is>
      </c>
      <c r="D87" t="inlineStr">
        <is>
          <t>Stock</t>
        </is>
      </c>
      <c r="F87" t="n">
        <v>7</v>
      </c>
      <c r="I87" t="n">
        <v>9</v>
      </c>
      <c r="J87" t="n">
        <v>11.5</v>
      </c>
      <c r="K87" t="n">
        <v>15</v>
      </c>
      <c r="L87" t="inlineStr">
        <is>
          <t>Ilford chart</t>
        </is>
      </c>
    </row>
    <row r="88">
      <c r="A88" t="inlineStr">
        <is>
          <t>Ilford Pan F Plus</t>
        </is>
      </c>
      <c r="B88" t="n">
        <v>50</v>
      </c>
      <c r="C88" t="inlineStr">
        <is>
          <t>Perceptol</t>
        </is>
      </c>
      <c r="D88" t="inlineStr">
        <is>
          <t>1+1</t>
        </is>
      </c>
      <c r="F88" t="n">
        <v>10</v>
      </c>
      <c r="I88" t="n">
        <v>13</v>
      </c>
      <c r="J88" t="n">
        <v>17</v>
      </c>
      <c r="K88" t="n">
        <v>22</v>
      </c>
      <c r="L88" t="inlineStr">
        <is>
          <t>Ilford chart</t>
        </is>
      </c>
    </row>
    <row r="89">
      <c r="A89" t="inlineStr">
        <is>
          <t>Ilford Pan F Plus</t>
        </is>
      </c>
      <c r="B89" t="n">
        <v>50</v>
      </c>
      <c r="C89" t="inlineStr">
        <is>
          <t>Ilfotec DD-X</t>
        </is>
      </c>
      <c r="D89" t="inlineStr">
        <is>
          <t>1+4</t>
        </is>
      </c>
      <c r="F89" t="n">
        <v>7</v>
      </c>
      <c r="I89" t="n">
        <v>9</v>
      </c>
      <c r="J89" t="n">
        <v>11.5</v>
      </c>
      <c r="K89" t="n">
        <v>15</v>
      </c>
      <c r="L89" t="inlineStr">
        <is>
          <t>Ilford chart</t>
        </is>
      </c>
    </row>
    <row r="90">
      <c r="A90" t="inlineStr">
        <is>
          <t>Ilford Pan F Plus</t>
        </is>
      </c>
      <c r="B90" t="n">
        <v>50</v>
      </c>
      <c r="C90" t="inlineStr">
        <is>
          <t>Ilfosol 3</t>
        </is>
      </c>
      <c r="D90" t="inlineStr">
        <is>
          <t>1+9</t>
        </is>
      </c>
      <c r="F90" t="n">
        <v>5</v>
      </c>
      <c r="I90" t="n">
        <v>6.5</v>
      </c>
      <c r="J90" t="n">
        <v>8.5</v>
      </c>
      <c r="K90" t="n">
        <v>11</v>
      </c>
      <c r="L90" t="inlineStr">
        <is>
          <t>Ilford chart</t>
        </is>
      </c>
    </row>
    <row r="91">
      <c r="A91" t="inlineStr">
        <is>
          <t>Ilford Pan F Plus</t>
        </is>
      </c>
      <c r="B91" t="n">
        <v>50</v>
      </c>
      <c r="C91" t="inlineStr">
        <is>
          <t>Rodinal</t>
        </is>
      </c>
      <c r="D91" t="inlineStr">
        <is>
          <t>1+25</t>
        </is>
      </c>
      <c r="F91" t="n">
        <v>4</v>
      </c>
      <c r="I91" t="n">
        <v>5</v>
      </c>
      <c r="J91" t="n">
        <v>6.5</v>
      </c>
      <c r="K91" t="n">
        <v>8.5</v>
      </c>
      <c r="L91" t="inlineStr">
        <is>
          <t>Ilford chart</t>
        </is>
      </c>
    </row>
    <row r="92">
      <c r="A92" t="inlineStr">
        <is>
          <t>Ilford Pan F Plus</t>
        </is>
      </c>
      <c r="B92" t="n">
        <v>50</v>
      </c>
      <c r="C92" t="inlineStr">
        <is>
          <t>Rodinal</t>
        </is>
      </c>
      <c r="D92" t="inlineStr">
        <is>
          <t>1+50</t>
        </is>
      </c>
      <c r="F92" t="n">
        <v>6</v>
      </c>
      <c r="I92" t="n">
        <v>8</v>
      </c>
      <c r="J92" t="n">
        <v>10.5</v>
      </c>
      <c r="K92" t="n">
        <v>13.5</v>
      </c>
      <c r="L92" t="inlineStr">
        <is>
          <t>Ilford chart</t>
        </is>
      </c>
    </row>
    <row r="93">
      <c r="A93" t="inlineStr">
        <is>
          <t>Ilford Pan F Plus</t>
        </is>
      </c>
      <c r="B93" t="n">
        <v>50</v>
      </c>
      <c r="C93" t="inlineStr">
        <is>
          <t>XTOL</t>
        </is>
      </c>
      <c r="D93" t="inlineStr">
        <is>
          <t>Stock</t>
        </is>
      </c>
      <c r="F93" t="n">
        <v>6</v>
      </c>
      <c r="I93" t="n">
        <v>8</v>
      </c>
      <c r="J93" t="n">
        <v>10.5</v>
      </c>
      <c r="K93" t="n">
        <v>13.5</v>
      </c>
      <c r="L93" t="inlineStr">
        <is>
          <t>Ilford chart</t>
        </is>
      </c>
    </row>
    <row r="94">
      <c r="A94" t="inlineStr">
        <is>
          <t>Ilford SFX 200</t>
        </is>
      </c>
      <c r="B94" t="n">
        <v>200</v>
      </c>
      <c r="C94" t="inlineStr">
        <is>
          <t>ID-11</t>
        </is>
      </c>
      <c r="D94" t="inlineStr">
        <is>
          <t>Stock</t>
        </is>
      </c>
      <c r="F94" t="n">
        <v>9</v>
      </c>
      <c r="I94" t="n">
        <v>11</v>
      </c>
      <c r="J94" t="n">
        <v>14</v>
      </c>
      <c r="K94" t="n">
        <v>18</v>
      </c>
      <c r="L94" t="inlineStr">
        <is>
          <t>Ilford chart</t>
        </is>
      </c>
    </row>
    <row r="95">
      <c r="A95" t="inlineStr">
        <is>
          <t>Ilford SFX 200</t>
        </is>
      </c>
      <c r="B95" t="n">
        <v>200</v>
      </c>
      <c r="C95" t="inlineStr">
        <is>
          <t>ID-11</t>
        </is>
      </c>
      <c r="D95" t="inlineStr">
        <is>
          <t>1+1</t>
        </is>
      </c>
      <c r="F95" t="n">
        <v>12</v>
      </c>
      <c r="I95" t="n">
        <v>15</v>
      </c>
      <c r="J95" t="n">
        <v>19.5</v>
      </c>
      <c r="K95" t="n">
        <v>25.5</v>
      </c>
      <c r="L95" t="inlineStr">
        <is>
          <t>Ilford chart</t>
        </is>
      </c>
    </row>
    <row r="96">
      <c r="A96" t="inlineStr">
        <is>
          <t>Ilford SFX 200</t>
        </is>
      </c>
      <c r="B96" t="n">
        <v>200</v>
      </c>
      <c r="C96" t="inlineStr">
        <is>
          <t>Ilfotec DD-X</t>
        </is>
      </c>
      <c r="D96" t="inlineStr">
        <is>
          <t>1+4</t>
        </is>
      </c>
      <c r="F96" t="n">
        <v>9.5</v>
      </c>
      <c r="I96" t="n">
        <v>12.5</v>
      </c>
      <c r="J96" t="n">
        <v>17</v>
      </c>
      <c r="K96" t="n">
        <v>22</v>
      </c>
      <c r="L96" t="inlineStr">
        <is>
          <t>Ilford chart</t>
        </is>
      </c>
    </row>
    <row r="97">
      <c r="A97" t="inlineStr">
        <is>
          <t>Ilford SFX 200</t>
        </is>
      </c>
      <c r="B97" t="n">
        <v>200</v>
      </c>
      <c r="C97" t="inlineStr">
        <is>
          <t>Rodinal</t>
        </is>
      </c>
      <c r="D97" t="inlineStr">
        <is>
          <t>1+25</t>
        </is>
      </c>
      <c r="F97" t="n">
        <v>9</v>
      </c>
      <c r="I97" t="n">
        <v>13</v>
      </c>
      <c r="J97" t="n">
        <v>18.5</v>
      </c>
      <c r="K97" t="n">
        <v>24</v>
      </c>
      <c r="L97" t="inlineStr">
        <is>
          <t>Ilford chart</t>
        </is>
      </c>
    </row>
    <row r="98">
      <c r="A98" t="inlineStr">
        <is>
          <t>Ilford Kentmere 100</t>
        </is>
      </c>
      <c r="B98" t="n">
        <v>100</v>
      </c>
      <c r="C98" t="inlineStr">
        <is>
          <t>ID-11</t>
        </is>
      </c>
      <c r="D98" t="inlineStr">
        <is>
          <t>Stock</t>
        </is>
      </c>
      <c r="F98" t="n">
        <v>6</v>
      </c>
      <c r="I98" t="n">
        <v>8</v>
      </c>
      <c r="J98" t="n">
        <v>10.5</v>
      </c>
      <c r="K98" t="n">
        <v>13.5</v>
      </c>
      <c r="L98" t="inlineStr">
        <is>
          <t>Ilford chart</t>
        </is>
      </c>
    </row>
    <row r="99">
      <c r="A99" t="inlineStr">
        <is>
          <t>Ilford Kentmere 100</t>
        </is>
      </c>
      <c r="B99" t="n">
        <v>100</v>
      </c>
      <c r="C99" t="inlineStr">
        <is>
          <t>Ilfotec DD-X</t>
        </is>
      </c>
      <c r="D99" t="inlineStr">
        <is>
          <t>1+4</t>
        </is>
      </c>
      <c r="F99" t="n">
        <v>8</v>
      </c>
      <c r="I99" t="n">
        <v>10.5</v>
      </c>
      <c r="J99" t="n">
        <v>13.5</v>
      </c>
      <c r="K99" t="n">
        <v>17.5</v>
      </c>
      <c r="L99" t="inlineStr">
        <is>
          <t>Ilford chart</t>
        </is>
      </c>
    </row>
    <row r="100">
      <c r="A100" t="inlineStr">
        <is>
          <t>Ilford Kentmere 100</t>
        </is>
      </c>
      <c r="B100" t="n">
        <v>100</v>
      </c>
      <c r="C100" t="inlineStr">
        <is>
          <t>Rodinal</t>
        </is>
      </c>
      <c r="D100" t="inlineStr">
        <is>
          <t>1+25</t>
        </is>
      </c>
      <c r="F100" t="n">
        <v>8</v>
      </c>
      <c r="I100" t="n">
        <v>10.5</v>
      </c>
      <c r="J100" t="n">
        <v>13.5</v>
      </c>
      <c r="K100" t="n">
        <v>17.5</v>
      </c>
      <c r="L100" t="inlineStr">
        <is>
          <t>Ilford chart</t>
        </is>
      </c>
    </row>
    <row r="101">
      <c r="A101" t="inlineStr">
        <is>
          <t>Ilford Kentmere 400</t>
        </is>
      </c>
      <c r="B101" t="n">
        <v>400</v>
      </c>
      <c r="C101" t="inlineStr">
        <is>
          <t>ID-11</t>
        </is>
      </c>
      <c r="D101" t="inlineStr">
        <is>
          <t>Stock</t>
        </is>
      </c>
      <c r="F101" t="n">
        <v>7</v>
      </c>
      <c r="I101" t="n">
        <v>9</v>
      </c>
      <c r="J101" t="n">
        <v>12</v>
      </c>
      <c r="K101" t="n">
        <v>16</v>
      </c>
      <c r="L101" t="inlineStr">
        <is>
          <t>Ilford chart</t>
        </is>
      </c>
    </row>
    <row r="102">
      <c r="A102" t="inlineStr">
        <is>
          <t>Ilford Kentmere 400</t>
        </is>
      </c>
      <c r="B102" t="n">
        <v>400</v>
      </c>
      <c r="C102" t="inlineStr">
        <is>
          <t>ID-11</t>
        </is>
      </c>
      <c r="D102" t="inlineStr">
        <is>
          <t>1+1</t>
        </is>
      </c>
      <c r="F102" t="n">
        <v>10</v>
      </c>
      <c r="I102" t="n">
        <v>13</v>
      </c>
      <c r="J102" t="n">
        <v>17</v>
      </c>
      <c r="K102" t="n">
        <v>22</v>
      </c>
      <c r="L102" t="inlineStr">
        <is>
          <t>Ilford chart</t>
        </is>
      </c>
    </row>
    <row r="103">
      <c r="A103" t="inlineStr">
        <is>
          <t>Ilford Kentmere 400</t>
        </is>
      </c>
      <c r="B103" t="n">
        <v>400</v>
      </c>
      <c r="C103" t="inlineStr">
        <is>
          <t>Ilfotec DD-X</t>
        </is>
      </c>
      <c r="D103" t="inlineStr">
        <is>
          <t>1+4</t>
        </is>
      </c>
      <c r="F103" t="n">
        <v>9.5</v>
      </c>
      <c r="I103" t="n">
        <v>12.5</v>
      </c>
      <c r="J103" t="n">
        <v>17</v>
      </c>
      <c r="K103" t="n">
        <v>22</v>
      </c>
      <c r="L103" t="inlineStr">
        <is>
          <t>Ilford chart</t>
        </is>
      </c>
    </row>
    <row r="104">
      <c r="A104" t="inlineStr">
        <is>
          <t>Ilford Kentmere 400</t>
        </is>
      </c>
      <c r="B104" t="n">
        <v>400</v>
      </c>
      <c r="C104" t="inlineStr">
        <is>
          <t>Rodinal</t>
        </is>
      </c>
      <c r="D104" t="inlineStr">
        <is>
          <t>1+25</t>
        </is>
      </c>
      <c r="F104" t="n">
        <v>11</v>
      </c>
      <c r="I104" t="n">
        <v>15</v>
      </c>
      <c r="J104" t="n">
        <v>20</v>
      </c>
      <c r="K104" t="n">
        <v>26</v>
      </c>
      <c r="L104" t="inlineStr">
        <is>
          <t>Ilford chart</t>
        </is>
      </c>
    </row>
    <row r="105">
      <c r="A105" t="inlineStr">
        <is>
          <t>Fomapan 100</t>
        </is>
      </c>
      <c r="B105" t="n">
        <v>100</v>
      </c>
      <c r="C105" t="inlineStr">
        <is>
          <t>D-76</t>
        </is>
      </c>
      <c r="D105" t="inlineStr">
        <is>
          <t>Stock</t>
        </is>
      </c>
      <c r="F105" t="n">
        <v>7</v>
      </c>
      <c r="I105" t="n">
        <v>9</v>
      </c>
      <c r="J105" t="n">
        <v>11.5</v>
      </c>
      <c r="K105" t="n">
        <v>15</v>
      </c>
      <c r="L105" t="inlineStr">
        <is>
          <t>Foma</t>
        </is>
      </c>
    </row>
    <row r="106">
      <c r="A106" t="inlineStr">
        <is>
          <t>Fomapan 100</t>
        </is>
      </c>
      <c r="B106" t="n">
        <v>100</v>
      </c>
      <c r="C106" t="inlineStr">
        <is>
          <t>D-76</t>
        </is>
      </c>
      <c r="D106" t="inlineStr">
        <is>
          <t>1+1</t>
        </is>
      </c>
      <c r="F106" t="n">
        <v>10</v>
      </c>
      <c r="I106" t="n">
        <v>13</v>
      </c>
      <c r="J106" t="n">
        <v>17</v>
      </c>
      <c r="K106" t="n">
        <v>22</v>
      </c>
      <c r="L106" t="inlineStr">
        <is>
          <t>Foma</t>
        </is>
      </c>
    </row>
    <row r="107">
      <c r="A107" t="inlineStr">
        <is>
          <t>Fomapan 100</t>
        </is>
      </c>
      <c r="B107" t="n">
        <v>100</v>
      </c>
      <c r="C107" t="inlineStr">
        <is>
          <t>Rodinal</t>
        </is>
      </c>
      <c r="D107" t="inlineStr">
        <is>
          <t>1+25</t>
        </is>
      </c>
      <c r="F107" t="n">
        <v>5</v>
      </c>
      <c r="I107" t="n">
        <v>6.5</v>
      </c>
      <c r="J107" t="n">
        <v>8.5</v>
      </c>
      <c r="K107" t="n">
        <v>11</v>
      </c>
      <c r="L107" t="inlineStr">
        <is>
          <t>Foma</t>
        </is>
      </c>
    </row>
    <row r="108">
      <c r="A108" t="inlineStr">
        <is>
          <t>Fomapan 100</t>
        </is>
      </c>
      <c r="B108" t="n">
        <v>100</v>
      </c>
      <c r="C108" t="inlineStr">
        <is>
          <t>Rodinal</t>
        </is>
      </c>
      <c r="D108" t="inlineStr">
        <is>
          <t>1+50</t>
        </is>
      </c>
      <c r="F108" t="n">
        <v>10</v>
      </c>
      <c r="I108" t="n">
        <v>13</v>
      </c>
      <c r="J108" t="n">
        <v>17</v>
      </c>
      <c r="K108" t="n">
        <v>22</v>
      </c>
      <c r="L108" t="inlineStr">
        <is>
          <t>Foma</t>
        </is>
      </c>
    </row>
    <row r="109">
      <c r="A109" t="inlineStr">
        <is>
          <t>Fomapan 100</t>
        </is>
      </c>
      <c r="B109" t="n">
        <v>100</v>
      </c>
      <c r="C109" t="inlineStr">
        <is>
          <t>Rodinal</t>
        </is>
      </c>
      <c r="D109" t="inlineStr">
        <is>
          <t>1+100</t>
        </is>
      </c>
      <c r="F109" t="n">
        <v>20</v>
      </c>
      <c r="I109" t="n">
        <v>26</v>
      </c>
      <c r="J109" t="n">
        <v>34</v>
      </c>
      <c r="K109" t="n">
        <v>44</v>
      </c>
      <c r="L109" t="inlineStr">
        <is>
          <t>Foma</t>
        </is>
      </c>
    </row>
    <row r="110">
      <c r="A110" t="inlineStr">
        <is>
          <t>Fomapan 100</t>
        </is>
      </c>
      <c r="B110" t="n">
        <v>100</v>
      </c>
      <c r="C110" t="inlineStr">
        <is>
          <t>HC-110</t>
        </is>
      </c>
      <c r="D110" t="inlineStr">
        <is>
          <t>Dil. B (1+31)</t>
        </is>
      </c>
      <c r="F110" t="n">
        <v>5</v>
      </c>
      <c r="I110" t="n">
        <v>6.5</v>
      </c>
      <c r="J110" t="n">
        <v>8.5</v>
      </c>
      <c r="K110" t="n">
        <v>11</v>
      </c>
      <c r="L110" t="inlineStr">
        <is>
          <t>Foma</t>
        </is>
      </c>
    </row>
    <row r="111">
      <c r="A111" t="inlineStr">
        <is>
          <t>Fomapan 100</t>
        </is>
      </c>
      <c r="B111" t="n">
        <v>100</v>
      </c>
      <c r="C111" t="inlineStr">
        <is>
          <t>XTOL</t>
        </is>
      </c>
      <c r="D111" t="inlineStr">
        <is>
          <t>Stock</t>
        </is>
      </c>
      <c r="F111" t="n">
        <v>6.5</v>
      </c>
      <c r="I111" t="n">
        <v>8.5</v>
      </c>
      <c r="J111" t="n">
        <v>11</v>
      </c>
      <c r="K111" t="n">
        <v>14.5</v>
      </c>
      <c r="L111" t="inlineStr">
        <is>
          <t>Foma</t>
        </is>
      </c>
    </row>
    <row r="112">
      <c r="A112" t="inlineStr">
        <is>
          <t>Fomapan 200</t>
        </is>
      </c>
      <c r="B112" t="n">
        <v>200</v>
      </c>
      <c r="C112" t="inlineStr">
        <is>
          <t>D-76</t>
        </is>
      </c>
      <c r="D112" t="inlineStr">
        <is>
          <t>Stock</t>
        </is>
      </c>
      <c r="F112" t="n">
        <v>8</v>
      </c>
      <c r="I112" t="n">
        <v>10.5</v>
      </c>
      <c r="J112" t="n">
        <v>13.5</v>
      </c>
      <c r="K112" t="n">
        <v>17.5</v>
      </c>
      <c r="L112" t="inlineStr">
        <is>
          <t>Foma</t>
        </is>
      </c>
    </row>
    <row r="113">
      <c r="A113" t="inlineStr">
        <is>
          <t>Fomapan 200</t>
        </is>
      </c>
      <c r="B113" t="n">
        <v>200</v>
      </c>
      <c r="C113" t="inlineStr">
        <is>
          <t>Rodinal</t>
        </is>
      </c>
      <c r="D113" t="inlineStr">
        <is>
          <t>1+50</t>
        </is>
      </c>
      <c r="F113" t="n">
        <v>12</v>
      </c>
      <c r="I113" t="n">
        <v>15.5</v>
      </c>
      <c r="J113" t="n">
        <v>20</v>
      </c>
      <c r="K113" t="n">
        <v>26</v>
      </c>
      <c r="L113" t="inlineStr">
        <is>
          <t>Foma</t>
        </is>
      </c>
    </row>
    <row r="114">
      <c r="A114" t="inlineStr">
        <is>
          <t>Fomapan 200</t>
        </is>
      </c>
      <c r="B114" t="n">
        <v>200</v>
      </c>
      <c r="C114" t="inlineStr">
        <is>
          <t>HC-110</t>
        </is>
      </c>
      <c r="D114" t="inlineStr">
        <is>
          <t>Dil. B (1+31)</t>
        </is>
      </c>
      <c r="F114" t="n">
        <v>6</v>
      </c>
      <c r="I114" t="n">
        <v>8</v>
      </c>
      <c r="J114" t="n">
        <v>10.5</v>
      </c>
      <c r="K114" t="n">
        <v>13.5</v>
      </c>
      <c r="L114" t="inlineStr">
        <is>
          <t>Foma</t>
        </is>
      </c>
    </row>
    <row r="115">
      <c r="A115" t="inlineStr">
        <is>
          <t>Fomapan 400</t>
        </is>
      </c>
      <c r="B115" t="n">
        <v>400</v>
      </c>
      <c r="C115" t="inlineStr">
        <is>
          <t>D-76</t>
        </is>
      </c>
      <c r="D115" t="inlineStr">
        <is>
          <t>Stock</t>
        </is>
      </c>
      <c r="F115" t="n">
        <v>7</v>
      </c>
      <c r="I115" t="n">
        <v>9</v>
      </c>
      <c r="J115" t="n">
        <v>11</v>
      </c>
      <c r="K115" t="n">
        <v>14.5</v>
      </c>
      <c r="L115" t="inlineStr">
        <is>
          <t>Foma</t>
        </is>
      </c>
    </row>
    <row r="116">
      <c r="A116" t="inlineStr">
        <is>
          <t>Fomapan 400</t>
        </is>
      </c>
      <c r="B116" t="n">
        <v>400</v>
      </c>
      <c r="C116" t="inlineStr">
        <is>
          <t>D-76</t>
        </is>
      </c>
      <c r="D116" t="inlineStr">
        <is>
          <t>1+1</t>
        </is>
      </c>
      <c r="F116" t="n">
        <v>10</v>
      </c>
      <c r="I116" t="n">
        <v>13</v>
      </c>
      <c r="J116" t="n">
        <v>17</v>
      </c>
      <c r="K116" t="n">
        <v>22</v>
      </c>
      <c r="L116" t="inlineStr">
        <is>
          <t>Foma</t>
        </is>
      </c>
    </row>
    <row r="117">
      <c r="A117" t="inlineStr">
        <is>
          <t>Fomapan 400</t>
        </is>
      </c>
      <c r="B117" t="n">
        <v>400</v>
      </c>
      <c r="C117" t="inlineStr">
        <is>
          <t>Rodinal</t>
        </is>
      </c>
      <c r="D117" t="inlineStr">
        <is>
          <t>1+25</t>
        </is>
      </c>
      <c r="F117" t="n">
        <v>7</v>
      </c>
      <c r="I117" t="n">
        <v>10</v>
      </c>
      <c r="J117" t="n">
        <v>14</v>
      </c>
      <c r="K117" t="n">
        <v>18</v>
      </c>
      <c r="L117" t="inlineStr">
        <is>
          <t>Foma</t>
        </is>
      </c>
    </row>
    <row r="118">
      <c r="A118" t="inlineStr">
        <is>
          <t>Fomapan 400</t>
        </is>
      </c>
      <c r="B118" t="n">
        <v>400</v>
      </c>
      <c r="C118" t="inlineStr">
        <is>
          <t>Rodinal</t>
        </is>
      </c>
      <c r="D118" t="inlineStr">
        <is>
          <t>1+50</t>
        </is>
      </c>
      <c r="F118" t="n">
        <v>13</v>
      </c>
      <c r="I118" t="n">
        <v>17</v>
      </c>
      <c r="J118" t="n">
        <v>22</v>
      </c>
      <c r="K118" t="n">
        <v>28.5</v>
      </c>
      <c r="L118" t="inlineStr">
        <is>
          <t>Foma</t>
        </is>
      </c>
    </row>
    <row r="119">
      <c r="A119" t="inlineStr">
        <is>
          <t>Fomapan 400</t>
        </is>
      </c>
      <c r="B119" t="n">
        <v>400</v>
      </c>
      <c r="C119" t="inlineStr">
        <is>
          <t>HC-110</t>
        </is>
      </c>
      <c r="D119" t="inlineStr">
        <is>
          <t>Dil. B (1+31)</t>
        </is>
      </c>
      <c r="F119" t="n">
        <v>6</v>
      </c>
      <c r="I119" t="n">
        <v>8</v>
      </c>
      <c r="J119" t="n">
        <v>11</v>
      </c>
      <c r="K119" t="n">
        <v>14.5</v>
      </c>
      <c r="L119" t="inlineStr">
        <is>
          <t>Foma</t>
        </is>
      </c>
    </row>
    <row r="120">
      <c r="A120" t="inlineStr">
        <is>
          <t>Fomapan 400</t>
        </is>
      </c>
      <c r="B120" t="n">
        <v>400</v>
      </c>
      <c r="C120" t="inlineStr">
        <is>
          <t>XTOL</t>
        </is>
      </c>
      <c r="D120" t="inlineStr">
        <is>
          <t>Stock</t>
        </is>
      </c>
      <c r="F120" t="n">
        <v>7.5</v>
      </c>
      <c r="I120" t="n">
        <v>10</v>
      </c>
      <c r="J120" t="n">
        <v>13</v>
      </c>
      <c r="K120" t="n">
        <v>17</v>
      </c>
      <c r="L120" t="inlineStr">
        <is>
          <t>Foma</t>
        </is>
      </c>
    </row>
    <row r="121">
      <c r="A121" t="inlineStr">
        <is>
          <t>Foma Retropan 320</t>
        </is>
      </c>
      <c r="B121" t="n">
        <v>320</v>
      </c>
      <c r="C121" t="inlineStr">
        <is>
          <t>Rodinal</t>
        </is>
      </c>
      <c r="D121" t="inlineStr">
        <is>
          <t>1+25</t>
        </is>
      </c>
      <c r="F121" t="n">
        <v>8</v>
      </c>
      <c r="I121" t="n">
        <v>12</v>
      </c>
      <c r="J121" t="n">
        <v>15.5</v>
      </c>
      <c r="K121" t="n">
        <v>20</v>
      </c>
      <c r="L121" t="inlineStr">
        <is>
          <t>Foma</t>
        </is>
      </c>
    </row>
    <row r="122">
      <c r="A122" t="inlineStr">
        <is>
          <t>Foma Retropan 320</t>
        </is>
      </c>
      <c r="B122" t="n">
        <v>320</v>
      </c>
      <c r="C122" t="inlineStr">
        <is>
          <t>Rodinal</t>
        </is>
      </c>
      <c r="D122" t="inlineStr">
        <is>
          <t>1+50</t>
        </is>
      </c>
      <c r="F122" t="n">
        <v>14</v>
      </c>
      <c r="I122" t="n">
        <v>18</v>
      </c>
      <c r="J122" t="n">
        <v>23.5</v>
      </c>
      <c r="K122" t="n">
        <v>30.5</v>
      </c>
      <c r="L122" t="inlineStr">
        <is>
          <t>Foma</t>
        </is>
      </c>
    </row>
    <row r="123">
      <c r="A123" t="inlineStr">
        <is>
          <t>Foma Retropan 320</t>
        </is>
      </c>
      <c r="B123" t="n">
        <v>320</v>
      </c>
      <c r="C123" t="inlineStr">
        <is>
          <t>D-76</t>
        </is>
      </c>
      <c r="D123" t="inlineStr">
        <is>
          <t>Stock</t>
        </is>
      </c>
      <c r="F123" t="n">
        <v>8</v>
      </c>
      <c r="I123" t="n">
        <v>11</v>
      </c>
      <c r="J123" t="n">
        <v>14.5</v>
      </c>
      <c r="K123" t="n">
        <v>19</v>
      </c>
      <c r="L123" t="inlineStr">
        <is>
          <t>Foma</t>
        </is>
      </c>
    </row>
    <row r="124">
      <c r="A124" t="inlineStr">
        <is>
          <t>Fuji Neopan Acros 100 II</t>
        </is>
      </c>
      <c r="B124" t="n">
        <v>100</v>
      </c>
      <c r="C124" t="inlineStr">
        <is>
          <t>D-76</t>
        </is>
      </c>
      <c r="D124" t="inlineStr">
        <is>
          <t>Stock</t>
        </is>
      </c>
      <c r="F124" t="n">
        <v>7</v>
      </c>
      <c r="I124" t="n">
        <v>9</v>
      </c>
      <c r="J124" t="n">
        <v>11.5</v>
      </c>
      <c r="K124" t="n">
        <v>15</v>
      </c>
      <c r="L124" t="inlineStr">
        <is>
          <t>Fujifilm</t>
        </is>
      </c>
    </row>
    <row r="125">
      <c r="A125" t="inlineStr">
        <is>
          <t>Fuji Neopan Acros 100 II</t>
        </is>
      </c>
      <c r="B125" t="n">
        <v>100</v>
      </c>
      <c r="C125" t="inlineStr">
        <is>
          <t>D-76</t>
        </is>
      </c>
      <c r="D125" t="inlineStr">
        <is>
          <t>1+1</t>
        </is>
      </c>
      <c r="F125" t="n">
        <v>9.5</v>
      </c>
      <c r="I125" t="n">
        <v>12.5</v>
      </c>
      <c r="J125" t="n">
        <v>16</v>
      </c>
      <c r="K125" t="n">
        <v>21</v>
      </c>
      <c r="L125" t="inlineStr">
        <is>
          <t>Fujifilm</t>
        </is>
      </c>
    </row>
    <row r="126">
      <c r="A126" t="inlineStr">
        <is>
          <t>Fuji Neopan Acros 100 II</t>
        </is>
      </c>
      <c r="B126" t="n">
        <v>100</v>
      </c>
      <c r="C126" t="inlineStr">
        <is>
          <t>Rodinal</t>
        </is>
      </c>
      <c r="D126" t="inlineStr">
        <is>
          <t>1+50</t>
        </is>
      </c>
      <c r="F126" t="n">
        <v>12</v>
      </c>
      <c r="I126" t="n">
        <v>15.5</v>
      </c>
      <c r="J126" t="n">
        <v>20</v>
      </c>
      <c r="K126" t="n">
        <v>26</v>
      </c>
      <c r="L126" t="inlineStr">
        <is>
          <t>Fujifilm</t>
        </is>
      </c>
    </row>
    <row r="127">
      <c r="A127" t="inlineStr">
        <is>
          <t>Fuji Neopan Acros 100 II</t>
        </is>
      </c>
      <c r="B127" t="n">
        <v>100</v>
      </c>
      <c r="C127" t="inlineStr">
        <is>
          <t>HC-110</t>
        </is>
      </c>
      <c r="D127" t="inlineStr">
        <is>
          <t>Dil. B (1+31)</t>
        </is>
      </c>
      <c r="F127" t="n">
        <v>6</v>
      </c>
      <c r="I127" t="n">
        <v>8</v>
      </c>
      <c r="J127" t="n">
        <v>10.5</v>
      </c>
      <c r="K127" t="n">
        <v>13.5</v>
      </c>
      <c r="L127" t="inlineStr">
        <is>
          <t>Fujifilm</t>
        </is>
      </c>
    </row>
    <row r="128">
      <c r="A128" t="inlineStr">
        <is>
          <t>Fuji Neopan Acros 100 II</t>
        </is>
      </c>
      <c r="B128" t="n">
        <v>100</v>
      </c>
      <c r="C128" t="inlineStr">
        <is>
          <t>XTOL</t>
        </is>
      </c>
      <c r="D128" t="inlineStr">
        <is>
          <t>Stock</t>
        </is>
      </c>
      <c r="F128" t="n">
        <v>7</v>
      </c>
      <c r="I128" t="n">
        <v>9</v>
      </c>
      <c r="J128" t="n">
        <v>11.5</v>
      </c>
      <c r="K128" t="n">
        <v>15</v>
      </c>
      <c r="L128" t="inlineStr">
        <is>
          <t>Fujifilm</t>
        </is>
      </c>
    </row>
    <row r="129">
      <c r="A129" t="inlineStr">
        <is>
          <t>Fuji Neopan Acros 100 II</t>
        </is>
      </c>
      <c r="B129" t="n">
        <v>100</v>
      </c>
      <c r="C129" t="inlineStr">
        <is>
          <t>ID-11</t>
        </is>
      </c>
      <c r="D129" t="inlineStr">
        <is>
          <t>Stock</t>
        </is>
      </c>
      <c r="F129" t="n">
        <v>7</v>
      </c>
      <c r="I129" t="n">
        <v>9</v>
      </c>
      <c r="J129" t="n">
        <v>11.5</v>
      </c>
      <c r="K129" t="n">
        <v>15</v>
      </c>
      <c r="L129" t="inlineStr">
        <is>
          <t>Fujifilm</t>
        </is>
      </c>
    </row>
    <row r="130">
      <c r="A130" t="inlineStr">
        <is>
          <t>Adox CHS 100 II</t>
        </is>
      </c>
      <c r="B130" t="n">
        <v>100</v>
      </c>
      <c r="C130" t="inlineStr">
        <is>
          <t>Adox Adonal</t>
        </is>
      </c>
      <c r="D130" t="inlineStr">
        <is>
          <t>1+25</t>
        </is>
      </c>
      <c r="F130" t="n">
        <v>8</v>
      </c>
      <c r="I130" t="n">
        <v>10.5</v>
      </c>
      <c r="J130" t="n">
        <v>13.5</v>
      </c>
      <c r="K130" t="n">
        <v>17.5</v>
      </c>
      <c r="L130" t="inlineStr">
        <is>
          <t>Adox</t>
        </is>
      </c>
    </row>
    <row r="131">
      <c r="A131" t="inlineStr">
        <is>
          <t>Adox CHS 100 II</t>
        </is>
      </c>
      <c r="B131" t="n">
        <v>100</v>
      </c>
      <c r="C131" t="inlineStr">
        <is>
          <t>Adox Adonal</t>
        </is>
      </c>
      <c r="D131" t="inlineStr">
        <is>
          <t>1+50</t>
        </is>
      </c>
      <c r="F131" t="n">
        <v>13</v>
      </c>
      <c r="I131" t="n">
        <v>17</v>
      </c>
      <c r="J131" t="n">
        <v>22</v>
      </c>
      <c r="K131" t="n">
        <v>28.5</v>
      </c>
      <c r="L131" t="inlineStr">
        <is>
          <t>Adox</t>
        </is>
      </c>
    </row>
    <row r="132">
      <c r="A132" t="inlineStr">
        <is>
          <t>Adox CHS 100 II</t>
        </is>
      </c>
      <c r="B132" t="n">
        <v>100</v>
      </c>
      <c r="C132" t="inlineStr">
        <is>
          <t>Rodinal</t>
        </is>
      </c>
      <c r="D132" t="inlineStr">
        <is>
          <t>1+25</t>
        </is>
      </c>
      <c r="F132" t="n">
        <v>8</v>
      </c>
      <c r="I132" t="n">
        <v>10.5</v>
      </c>
      <c r="J132" t="n">
        <v>13.5</v>
      </c>
      <c r="K132" t="n">
        <v>17.5</v>
      </c>
      <c r="L132" t="inlineStr">
        <is>
          <t>Adox</t>
        </is>
      </c>
    </row>
    <row r="133">
      <c r="A133" t="inlineStr">
        <is>
          <t>Adox CHS 100 II</t>
        </is>
      </c>
      <c r="B133" t="n">
        <v>100</v>
      </c>
      <c r="C133" t="inlineStr">
        <is>
          <t>Rodinal</t>
        </is>
      </c>
      <c r="D133" t="inlineStr">
        <is>
          <t>1+50</t>
        </is>
      </c>
      <c r="F133" t="n">
        <v>13</v>
      </c>
      <c r="I133" t="n">
        <v>17</v>
      </c>
      <c r="J133" t="n">
        <v>22</v>
      </c>
      <c r="K133" t="n">
        <v>28.5</v>
      </c>
      <c r="L133" t="inlineStr">
        <is>
          <t>Adox</t>
        </is>
      </c>
    </row>
    <row r="134">
      <c r="A134" t="inlineStr">
        <is>
          <t>Adox CHS 100 II</t>
        </is>
      </c>
      <c r="B134" t="n">
        <v>100</v>
      </c>
      <c r="C134" t="inlineStr">
        <is>
          <t>D-76</t>
        </is>
      </c>
      <c r="D134" t="inlineStr">
        <is>
          <t>Stock</t>
        </is>
      </c>
      <c r="F134" t="n">
        <v>8</v>
      </c>
      <c r="I134" t="n">
        <v>10.5</v>
      </c>
      <c r="J134" t="n">
        <v>13.5</v>
      </c>
      <c r="K134" t="n">
        <v>17.5</v>
      </c>
      <c r="L134" t="inlineStr">
        <is>
          <t>Adox</t>
        </is>
      </c>
    </row>
    <row r="135">
      <c r="A135" t="inlineStr">
        <is>
          <t>Adox Silvermax 100</t>
        </is>
      </c>
      <c r="B135" t="n">
        <v>100</v>
      </c>
      <c r="C135" t="inlineStr">
        <is>
          <t>Adox Silvermax Dev</t>
        </is>
      </c>
      <c r="D135" t="inlineStr">
        <is>
          <t>1+29</t>
        </is>
      </c>
      <c r="F135" t="n">
        <v>11</v>
      </c>
      <c r="I135" t="n">
        <v>14.5</v>
      </c>
      <c r="J135" t="n">
        <v>19</v>
      </c>
      <c r="K135" t="n">
        <v>24.5</v>
      </c>
      <c r="L135" t="inlineStr">
        <is>
          <t>Adox</t>
        </is>
      </c>
    </row>
    <row r="136">
      <c r="A136" t="inlineStr">
        <is>
          <t>Adox Silvermax 100</t>
        </is>
      </c>
      <c r="B136" t="n">
        <v>100</v>
      </c>
      <c r="C136" t="inlineStr">
        <is>
          <t>Rodinal</t>
        </is>
      </c>
      <c r="D136" t="inlineStr">
        <is>
          <t>1+50</t>
        </is>
      </c>
      <c r="F136" t="n">
        <v>12</v>
      </c>
      <c r="I136" t="n">
        <v>15.5</v>
      </c>
      <c r="J136" t="n">
        <v>20</v>
      </c>
      <c r="K136" t="n">
        <v>26</v>
      </c>
      <c r="L136" t="inlineStr">
        <is>
          <t>Adox</t>
        </is>
      </c>
    </row>
    <row r="137">
      <c r="A137" t="inlineStr">
        <is>
          <t>Adox Silvermax 100</t>
        </is>
      </c>
      <c r="B137" t="n">
        <v>100</v>
      </c>
      <c r="C137" t="inlineStr">
        <is>
          <t>D-76</t>
        </is>
      </c>
      <c r="D137" t="inlineStr">
        <is>
          <t>Stock</t>
        </is>
      </c>
      <c r="F137" t="n">
        <v>7</v>
      </c>
      <c r="I137" t="n">
        <v>9</v>
      </c>
      <c r="J137" t="n">
        <v>11.5</v>
      </c>
      <c r="K137" t="n">
        <v>15</v>
      </c>
      <c r="L137" t="inlineStr">
        <is>
          <t>Adox</t>
        </is>
      </c>
    </row>
    <row r="138">
      <c r="A138" t="inlineStr">
        <is>
          <t>Bergger Pancro 400</t>
        </is>
      </c>
      <c r="B138" t="n">
        <v>400</v>
      </c>
      <c r="C138" t="inlineStr">
        <is>
          <t>Rodinal</t>
        </is>
      </c>
      <c r="D138" t="inlineStr">
        <is>
          <t>1+25</t>
        </is>
      </c>
      <c r="F138" t="n">
        <v>9</v>
      </c>
      <c r="I138" t="n">
        <v>13</v>
      </c>
      <c r="J138" t="n">
        <v>17</v>
      </c>
      <c r="K138" t="n">
        <v>22</v>
      </c>
      <c r="L138" t="inlineStr">
        <is>
          <t>Bergger</t>
        </is>
      </c>
    </row>
    <row r="139">
      <c r="A139" t="inlineStr">
        <is>
          <t>Bergger Pancro 400</t>
        </is>
      </c>
      <c r="B139" t="n">
        <v>400</v>
      </c>
      <c r="C139" t="inlineStr">
        <is>
          <t>Rodinal</t>
        </is>
      </c>
      <c r="D139" t="inlineStr">
        <is>
          <t>1+50</t>
        </is>
      </c>
      <c r="F139" t="n">
        <v>15</v>
      </c>
      <c r="I139" t="n">
        <v>19.5</v>
      </c>
      <c r="J139" t="n">
        <v>25.5</v>
      </c>
      <c r="K139" t="n">
        <v>33</v>
      </c>
      <c r="L139" t="inlineStr">
        <is>
          <t>Bergger</t>
        </is>
      </c>
    </row>
    <row r="140">
      <c r="A140" t="inlineStr">
        <is>
          <t>Bergger Pancro 400</t>
        </is>
      </c>
      <c r="B140" t="n">
        <v>400</v>
      </c>
      <c r="C140" t="inlineStr">
        <is>
          <t>D-76</t>
        </is>
      </c>
      <c r="D140" t="inlineStr">
        <is>
          <t>Stock</t>
        </is>
      </c>
      <c r="F140" t="n">
        <v>8</v>
      </c>
      <c r="I140" t="n">
        <v>11</v>
      </c>
      <c r="J140" t="n">
        <v>14.5</v>
      </c>
      <c r="K140" t="n">
        <v>19</v>
      </c>
      <c r="L140" t="inlineStr">
        <is>
          <t>Bergger</t>
        </is>
      </c>
    </row>
    <row r="141">
      <c r="A141" t="inlineStr">
        <is>
          <t>Bergger Pancro 400</t>
        </is>
      </c>
      <c r="B141" t="n">
        <v>400</v>
      </c>
      <c r="C141" t="inlineStr">
        <is>
          <t>D-76</t>
        </is>
      </c>
      <c r="D141" t="inlineStr">
        <is>
          <t>1+1</t>
        </is>
      </c>
      <c r="F141" t="n">
        <v>11</v>
      </c>
      <c r="I141" t="n">
        <v>14</v>
      </c>
      <c r="J141" t="n">
        <v>18</v>
      </c>
      <c r="K141" t="n">
        <v>23.5</v>
      </c>
      <c r="L141" t="inlineStr">
        <is>
          <t>Bergger</t>
        </is>
      </c>
    </row>
    <row r="142">
      <c r="A142" t="inlineStr">
        <is>
          <t>Bergger Pancro 400</t>
        </is>
      </c>
      <c r="B142" t="n">
        <v>400</v>
      </c>
      <c r="C142" t="inlineStr">
        <is>
          <t>HC-110</t>
        </is>
      </c>
      <c r="D142" t="inlineStr">
        <is>
          <t>Dil. B (1+31)</t>
        </is>
      </c>
      <c r="F142" t="n">
        <v>7</v>
      </c>
      <c r="I142" t="n">
        <v>10</v>
      </c>
      <c r="J142" t="n">
        <v>13</v>
      </c>
      <c r="K142" t="n">
        <v>17</v>
      </c>
      <c r="L142" t="inlineStr">
        <is>
          <t>Bergger</t>
        </is>
      </c>
    </row>
    <row r="143">
      <c r="A143" t="inlineStr">
        <is>
          <t>Bergger Pancro 400</t>
        </is>
      </c>
      <c r="B143" t="n">
        <v>400</v>
      </c>
      <c r="C143" t="inlineStr">
        <is>
          <t>XTOL</t>
        </is>
      </c>
      <c r="D143" t="inlineStr">
        <is>
          <t>Stock</t>
        </is>
      </c>
      <c r="F143" t="n">
        <v>8</v>
      </c>
      <c r="I143" t="n">
        <v>10</v>
      </c>
      <c r="J143" t="n">
        <v>13</v>
      </c>
      <c r="K143" t="n">
        <v>17</v>
      </c>
      <c r="L143" t="inlineStr">
        <is>
          <t>Bergger</t>
        </is>
      </c>
    </row>
    <row r="144">
      <c r="A144" t="inlineStr">
        <is>
          <t>Rollei RPX 100</t>
        </is>
      </c>
      <c r="B144" t="n">
        <v>100</v>
      </c>
      <c r="C144" t="inlineStr">
        <is>
          <t>Rodinal</t>
        </is>
      </c>
      <c r="D144" t="inlineStr">
        <is>
          <t>1+25</t>
        </is>
      </c>
      <c r="F144" t="n">
        <v>7</v>
      </c>
      <c r="I144" t="n">
        <v>9</v>
      </c>
      <c r="J144" t="n">
        <v>11.5</v>
      </c>
      <c r="K144" t="n">
        <v>15</v>
      </c>
      <c r="L144" t="inlineStr">
        <is>
          <t>Rollei</t>
        </is>
      </c>
    </row>
    <row r="145">
      <c r="A145" t="inlineStr">
        <is>
          <t>Rollei RPX 100</t>
        </is>
      </c>
      <c r="B145" t="n">
        <v>100</v>
      </c>
      <c r="C145" t="inlineStr">
        <is>
          <t>Rodinal</t>
        </is>
      </c>
      <c r="D145" t="inlineStr">
        <is>
          <t>1+50</t>
        </is>
      </c>
      <c r="F145" t="n">
        <v>11</v>
      </c>
      <c r="I145" t="n">
        <v>14.5</v>
      </c>
      <c r="J145" t="n">
        <v>19</v>
      </c>
      <c r="K145" t="n">
        <v>24.5</v>
      </c>
      <c r="L145" t="inlineStr">
        <is>
          <t>Rollei</t>
        </is>
      </c>
    </row>
    <row r="146">
      <c r="A146" t="inlineStr">
        <is>
          <t>Rollei RPX 100</t>
        </is>
      </c>
      <c r="B146" t="n">
        <v>100</v>
      </c>
      <c r="C146" t="inlineStr">
        <is>
          <t>D-76</t>
        </is>
      </c>
      <c r="D146" t="inlineStr">
        <is>
          <t>Stock</t>
        </is>
      </c>
      <c r="F146" t="n">
        <v>7.5</v>
      </c>
      <c r="I146" t="n">
        <v>10</v>
      </c>
      <c r="J146" t="n">
        <v>13</v>
      </c>
      <c r="K146" t="n">
        <v>17</v>
      </c>
      <c r="L146" t="inlineStr">
        <is>
          <t>Rollei</t>
        </is>
      </c>
    </row>
    <row r="147">
      <c r="A147" t="inlineStr">
        <is>
          <t>Rollei RPX 400</t>
        </is>
      </c>
      <c r="B147" t="n">
        <v>400</v>
      </c>
      <c r="C147" t="inlineStr">
        <is>
          <t>Rodinal</t>
        </is>
      </c>
      <c r="D147" t="inlineStr">
        <is>
          <t>1+25</t>
        </is>
      </c>
      <c r="F147" t="n">
        <v>8</v>
      </c>
      <c r="I147" t="n">
        <v>11</v>
      </c>
      <c r="J147" t="n">
        <v>15</v>
      </c>
      <c r="K147" t="n">
        <v>19.5</v>
      </c>
      <c r="L147" t="inlineStr">
        <is>
          <t>Rollei</t>
        </is>
      </c>
    </row>
    <row r="148">
      <c r="A148" t="inlineStr">
        <is>
          <t>Rollei RPX 400</t>
        </is>
      </c>
      <c r="B148" t="n">
        <v>400</v>
      </c>
      <c r="C148" t="inlineStr">
        <is>
          <t>Rodinal</t>
        </is>
      </c>
      <c r="D148" t="inlineStr">
        <is>
          <t>1+50</t>
        </is>
      </c>
      <c r="F148" t="n">
        <v>14</v>
      </c>
      <c r="I148" t="n">
        <v>18</v>
      </c>
      <c r="J148" t="n">
        <v>23.5</v>
      </c>
      <c r="K148" t="n">
        <v>30.5</v>
      </c>
      <c r="L148" t="inlineStr">
        <is>
          <t>Rollei</t>
        </is>
      </c>
    </row>
    <row r="149">
      <c r="A149" t="inlineStr">
        <is>
          <t>Rollei RPX 400</t>
        </is>
      </c>
      <c r="B149" t="n">
        <v>400</v>
      </c>
      <c r="C149" t="inlineStr">
        <is>
          <t>D-76</t>
        </is>
      </c>
      <c r="D149" t="inlineStr">
        <is>
          <t>Stock</t>
        </is>
      </c>
      <c r="F149" t="n">
        <v>8</v>
      </c>
      <c r="I149" t="n">
        <v>10</v>
      </c>
      <c r="J149" t="n">
        <v>13</v>
      </c>
      <c r="K149" t="n">
        <v>17</v>
      </c>
      <c r="L149" t="inlineStr">
        <is>
          <t>Rollei</t>
        </is>
      </c>
    </row>
    <row r="150">
      <c r="A150" t="inlineStr">
        <is>
          <t>Rollei RPX 400</t>
        </is>
      </c>
      <c r="B150" t="n">
        <v>400</v>
      </c>
      <c r="C150" t="inlineStr">
        <is>
          <t>HC-110</t>
        </is>
      </c>
      <c r="D150" t="inlineStr">
        <is>
          <t>Dil. B (1+31)</t>
        </is>
      </c>
      <c r="F150" t="n">
        <v>6</v>
      </c>
      <c r="I150" t="n">
        <v>8</v>
      </c>
      <c r="J150" t="n">
        <v>11</v>
      </c>
      <c r="K150" t="n">
        <v>14.5</v>
      </c>
      <c r="L150" t="inlineStr">
        <is>
          <t>Rollei</t>
        </is>
      </c>
    </row>
    <row r="151">
      <c r="A151" t="inlineStr">
        <is>
          <t>CineStill BwXX</t>
        </is>
      </c>
      <c r="B151" t="n">
        <v>250</v>
      </c>
      <c r="C151" t="inlineStr">
        <is>
          <t>D-76</t>
        </is>
      </c>
      <c r="D151" t="inlineStr">
        <is>
          <t>Stock</t>
        </is>
      </c>
      <c r="F151" t="n">
        <v>9.75</v>
      </c>
      <c r="I151" t="n">
        <v>13</v>
      </c>
      <c r="J151" t="n">
        <v>18</v>
      </c>
      <c r="K151" t="n">
        <v>23.5</v>
      </c>
      <c r="L151" t="inlineStr">
        <is>
          <t>Kodak/CineStill</t>
        </is>
      </c>
    </row>
    <row r="152">
      <c r="A152" t="inlineStr">
        <is>
          <t>CineStill BwXX</t>
        </is>
      </c>
      <c r="B152" t="n">
        <v>250</v>
      </c>
      <c r="C152" t="inlineStr">
        <is>
          <t>HC-110</t>
        </is>
      </c>
      <c r="D152" t="inlineStr">
        <is>
          <t>Dil. B (1+31)</t>
        </is>
      </c>
      <c r="F152" t="n">
        <v>6</v>
      </c>
      <c r="I152" t="n">
        <v>9</v>
      </c>
      <c r="J152" t="n">
        <v>13</v>
      </c>
      <c r="K152" t="n">
        <v>17</v>
      </c>
      <c r="L152" t="inlineStr">
        <is>
          <t>Kodak/CineStill</t>
        </is>
      </c>
    </row>
    <row r="153">
      <c r="A153" t="inlineStr">
        <is>
          <t>CineStill BwXX</t>
        </is>
      </c>
      <c r="B153" t="n">
        <v>250</v>
      </c>
      <c r="C153" t="inlineStr">
        <is>
          <t>Rodinal</t>
        </is>
      </c>
      <c r="D153" t="inlineStr">
        <is>
          <t>1+25</t>
        </is>
      </c>
      <c r="F153" t="n">
        <v>9</v>
      </c>
      <c r="I153" t="n">
        <v>13</v>
      </c>
      <c r="J153" t="n">
        <v>17</v>
      </c>
      <c r="K153" t="n">
        <v>22</v>
      </c>
      <c r="L153" t="inlineStr">
        <is>
          <t>Kodak/CineStill</t>
        </is>
      </c>
    </row>
    <row r="154">
      <c r="A154" t="inlineStr">
        <is>
          <t>Ferrania P30</t>
        </is>
      </c>
      <c r="B154" t="n">
        <v>80</v>
      </c>
      <c r="C154" t="inlineStr">
        <is>
          <t>D-76</t>
        </is>
      </c>
      <c r="D154" t="inlineStr">
        <is>
          <t>Stock</t>
        </is>
      </c>
      <c r="F154" t="n">
        <v>7</v>
      </c>
      <c r="I154" t="n">
        <v>9</v>
      </c>
      <c r="J154" t="n">
        <v>11.5</v>
      </c>
      <c r="K154" t="n">
        <v>15</v>
      </c>
      <c r="L154" t="inlineStr">
        <is>
          <t>Ferrania</t>
        </is>
      </c>
    </row>
    <row r="155">
      <c r="A155" t="inlineStr">
        <is>
          <t>Ferrania P30</t>
        </is>
      </c>
      <c r="B155" t="n">
        <v>80</v>
      </c>
      <c r="C155" t="inlineStr">
        <is>
          <t>HC-110</t>
        </is>
      </c>
      <c r="D155" t="inlineStr">
        <is>
          <t>Dil. B (1+31)</t>
        </is>
      </c>
      <c r="F155" t="n">
        <v>6</v>
      </c>
      <c r="I155" t="n">
        <v>8</v>
      </c>
      <c r="J155" t="n">
        <v>10.5</v>
      </c>
      <c r="K155" t="n">
        <v>13.5</v>
      </c>
      <c r="L155" t="inlineStr">
        <is>
          <t>Ferrania</t>
        </is>
      </c>
    </row>
    <row r="156">
      <c r="A156" t="inlineStr">
        <is>
          <t>Ferrania P30</t>
        </is>
      </c>
      <c r="B156" t="n">
        <v>80</v>
      </c>
      <c r="C156" t="inlineStr">
        <is>
          <t>Rodinal</t>
        </is>
      </c>
      <c r="D156" t="inlineStr">
        <is>
          <t>1+50</t>
        </is>
      </c>
      <c r="F156" t="n">
        <v>11</v>
      </c>
      <c r="I156" t="n">
        <v>14.5</v>
      </c>
      <c r="J156" t="n">
        <v>19</v>
      </c>
      <c r="K156" t="n">
        <v>24.5</v>
      </c>
      <c r="L156" t="inlineStr">
        <is>
          <t>Ferrania</t>
        </is>
      </c>
    </row>
    <row r="157">
      <c r="A157" t="inlineStr">
        <is>
          <t>Lomo Lady Grey 400</t>
        </is>
      </c>
      <c r="B157" t="n">
        <v>400</v>
      </c>
      <c r="C157" t="inlineStr">
        <is>
          <t>D-76</t>
        </is>
      </c>
      <c r="D157" t="inlineStr">
        <is>
          <t>Stock</t>
        </is>
      </c>
      <c r="F157" t="n">
        <v>7.5</v>
      </c>
      <c r="I157" t="n">
        <v>10</v>
      </c>
      <c r="J157" t="n">
        <v>13</v>
      </c>
      <c r="K157" t="n">
        <v>17</v>
      </c>
      <c r="L157" t="inlineStr">
        <is>
          <t>Lomography oficial</t>
        </is>
      </c>
    </row>
    <row r="158">
      <c r="A158" t="inlineStr">
        <is>
          <t>Lomo Lady Grey 400</t>
        </is>
      </c>
      <c r="B158" t="n">
        <v>400</v>
      </c>
      <c r="C158" t="inlineStr">
        <is>
          <t>D-76</t>
        </is>
      </c>
      <c r="D158" t="inlineStr">
        <is>
          <t>1+1</t>
        </is>
      </c>
      <c r="F158" t="n">
        <v>10.25</v>
      </c>
      <c r="I158" t="n">
        <v>13.5</v>
      </c>
      <c r="J158" t="n">
        <v>17.5</v>
      </c>
      <c r="K158" t="n">
        <v>23</v>
      </c>
      <c r="L158" t="inlineStr">
        <is>
          <t>Lomography oficial</t>
        </is>
      </c>
    </row>
    <row r="159">
      <c r="A159" t="inlineStr">
        <is>
          <t>Lomo Lady Grey 400</t>
        </is>
      </c>
      <c r="B159" t="n">
        <v>400</v>
      </c>
      <c r="C159" t="inlineStr">
        <is>
          <t>D-76</t>
        </is>
      </c>
      <c r="D159" t="inlineStr">
        <is>
          <t>1+3</t>
        </is>
      </c>
      <c r="F159" t="n">
        <v>15</v>
      </c>
      <c r="I159" t="n">
        <v>19.5</v>
      </c>
      <c r="J159" t="n">
        <v>25.5</v>
      </c>
      <c r="K159" t="n">
        <v>33</v>
      </c>
      <c r="L159" t="inlineStr">
        <is>
          <t>Lomography oficial</t>
        </is>
      </c>
    </row>
    <row r="160">
      <c r="A160" t="inlineStr">
        <is>
          <t>Lomo Lady Grey 400</t>
        </is>
      </c>
      <c r="B160" t="n">
        <v>400</v>
      </c>
      <c r="C160" t="inlineStr">
        <is>
          <t>HC-110</t>
        </is>
      </c>
      <c r="D160" t="inlineStr">
        <is>
          <t>Dil. B (1+31)</t>
        </is>
      </c>
      <c r="F160" t="n">
        <v>6</v>
      </c>
      <c r="I160" t="n">
        <v>8</v>
      </c>
      <c r="J160" t="n">
        <v>10.5</v>
      </c>
      <c r="K160" t="n">
        <v>13.5</v>
      </c>
      <c r="L160" t="inlineStr">
        <is>
          <t>Lomography oficial</t>
        </is>
      </c>
    </row>
    <row r="161">
      <c r="A161" t="inlineStr">
        <is>
          <t>Lomo Lady Grey 400</t>
        </is>
      </c>
      <c r="B161" t="n">
        <v>400</v>
      </c>
      <c r="C161" t="inlineStr">
        <is>
          <t>Rodinal</t>
        </is>
      </c>
      <c r="D161" t="inlineStr">
        <is>
          <t>1+25</t>
        </is>
      </c>
      <c r="F161" t="n">
        <v>5</v>
      </c>
      <c r="I161" t="n">
        <v>6.5</v>
      </c>
      <c r="J161" t="n">
        <v>8.5</v>
      </c>
      <c r="K161" t="n">
        <v>11</v>
      </c>
      <c r="L161" t="inlineStr">
        <is>
          <t>Lomography oficial</t>
        </is>
      </c>
    </row>
    <row r="162">
      <c r="A162" t="inlineStr">
        <is>
          <t>Lomo Lady Grey 400</t>
        </is>
      </c>
      <c r="B162" t="n">
        <v>400</v>
      </c>
      <c r="C162" t="inlineStr">
        <is>
          <t>Rodinal</t>
        </is>
      </c>
      <c r="D162" t="inlineStr">
        <is>
          <t>1+50</t>
        </is>
      </c>
      <c r="F162" t="n">
        <v>10</v>
      </c>
      <c r="I162" t="n">
        <v>13</v>
      </c>
      <c r="J162" t="n">
        <v>17</v>
      </c>
      <c r="K162" t="n">
        <v>22</v>
      </c>
      <c r="L162" t="inlineStr">
        <is>
          <t>Lomography oficial</t>
        </is>
      </c>
    </row>
    <row r="163">
      <c r="A163" t="inlineStr">
        <is>
          <t>Lomo Lady Grey 400</t>
        </is>
      </c>
      <c r="B163" t="n">
        <v>400</v>
      </c>
      <c r="C163" t="inlineStr">
        <is>
          <t>XTOL</t>
        </is>
      </c>
      <c r="D163" t="inlineStr">
        <is>
          <t>Stock</t>
        </is>
      </c>
      <c r="F163" t="n">
        <v>6.5</v>
      </c>
      <c r="I163" t="n">
        <v>8.5</v>
      </c>
      <c r="J163" t="n">
        <v>11</v>
      </c>
      <c r="K163" t="n">
        <v>14.5</v>
      </c>
      <c r="L163" t="inlineStr">
        <is>
          <t>Lomography oficial</t>
        </is>
      </c>
    </row>
    <row r="164">
      <c r="A164" t="inlineStr">
        <is>
          <t>Lomo Lady Grey 400</t>
        </is>
      </c>
      <c r="B164" t="n">
        <v>400</v>
      </c>
      <c r="C164" t="inlineStr">
        <is>
          <t>XTOL</t>
        </is>
      </c>
      <c r="D164" t="inlineStr">
        <is>
          <t>1+3</t>
        </is>
      </c>
      <c r="F164" t="n">
        <v>13</v>
      </c>
      <c r="I164" t="n">
        <v>17</v>
      </c>
      <c r="J164" t="n">
        <v>22</v>
      </c>
      <c r="K164" t="n">
        <v>28.5</v>
      </c>
      <c r="L164" t="inlineStr">
        <is>
          <t>Lomography oficial</t>
        </is>
      </c>
    </row>
    <row r="165">
      <c r="A165" t="inlineStr">
        <is>
          <t>Lomo Lady Grey 400</t>
        </is>
      </c>
      <c r="B165" t="n">
        <v>400</v>
      </c>
      <c r="C165" t="inlineStr">
        <is>
          <t>Microphen</t>
        </is>
      </c>
      <c r="D165" t="inlineStr">
        <is>
          <t>Stock</t>
        </is>
      </c>
      <c r="F165" t="n">
        <v>7</v>
      </c>
      <c r="I165" t="n">
        <v>9</v>
      </c>
      <c r="J165" t="n">
        <v>11.5</v>
      </c>
      <c r="K165" t="n">
        <v>15</v>
      </c>
      <c r="L165" t="inlineStr">
        <is>
          <t>Lomography oficial</t>
        </is>
      </c>
    </row>
    <row r="166">
      <c r="A166" t="inlineStr">
        <is>
          <t>Lomo Lady Grey 400</t>
        </is>
      </c>
      <c r="B166" t="n">
        <v>400</v>
      </c>
      <c r="C166" t="inlineStr">
        <is>
          <t>T-MAX RS</t>
        </is>
      </c>
      <c r="D166" t="inlineStr">
        <is>
          <t>Stock</t>
        </is>
      </c>
      <c r="F166" t="n">
        <v>6</v>
      </c>
      <c r="I166" t="n">
        <v>8</v>
      </c>
      <c r="J166" t="n">
        <v>10.5</v>
      </c>
      <c r="K166" t="n">
        <v>13.5</v>
      </c>
      <c r="L166" t="inlineStr">
        <is>
          <t>Lomography oficial</t>
        </is>
      </c>
    </row>
    <row r="167">
      <c r="A167" t="inlineStr">
        <is>
          <t>Lomo Lady Grey 400</t>
        </is>
      </c>
      <c r="B167" t="n">
        <v>400</v>
      </c>
      <c r="C167" t="inlineStr">
        <is>
          <t>T-MAX Dev</t>
        </is>
      </c>
      <c r="D167" t="inlineStr">
        <is>
          <t>1+4</t>
        </is>
      </c>
      <c r="F167" t="n">
        <v>5</v>
      </c>
      <c r="I167" t="n">
        <v>6.5</v>
      </c>
      <c r="J167" t="n">
        <v>8.5</v>
      </c>
      <c r="K167" t="n">
        <v>11</v>
      </c>
      <c r="L167" t="inlineStr">
        <is>
          <t>Lomography oficial</t>
        </is>
      </c>
    </row>
    <row r="168">
      <c r="A168" t="inlineStr">
        <is>
          <t>Lomo Earl Grey 100</t>
        </is>
      </c>
      <c r="B168" t="n">
        <v>100</v>
      </c>
      <c r="C168" t="inlineStr">
        <is>
          <t>D-76</t>
        </is>
      </c>
      <c r="D168" t="inlineStr">
        <is>
          <t>Stock</t>
        </is>
      </c>
      <c r="F168" t="n">
        <v>7</v>
      </c>
      <c r="I168" t="n">
        <v>9</v>
      </c>
      <c r="J168" t="n">
        <v>11.5</v>
      </c>
      <c r="K168" t="n">
        <v>15</v>
      </c>
      <c r="L168" t="inlineStr">
        <is>
          <t>Lomography oficial</t>
        </is>
      </c>
    </row>
    <row r="169">
      <c r="A169" t="inlineStr">
        <is>
          <t>Lomo Earl Grey 100</t>
        </is>
      </c>
      <c r="B169" t="n">
        <v>100</v>
      </c>
      <c r="C169" t="inlineStr">
        <is>
          <t>D-76</t>
        </is>
      </c>
      <c r="D169" t="inlineStr">
        <is>
          <t>1+1</t>
        </is>
      </c>
      <c r="F169" t="n">
        <v>10</v>
      </c>
      <c r="I169" t="n">
        <v>13</v>
      </c>
      <c r="J169" t="n">
        <v>17</v>
      </c>
      <c r="K169" t="n">
        <v>22</v>
      </c>
      <c r="L169" t="inlineStr">
        <is>
          <t>Lomography oficial</t>
        </is>
      </c>
    </row>
    <row r="170">
      <c r="A170" t="inlineStr">
        <is>
          <t>Lomo Earl Grey 100</t>
        </is>
      </c>
      <c r="B170" t="n">
        <v>100</v>
      </c>
      <c r="C170" t="inlineStr">
        <is>
          <t>HC-110</t>
        </is>
      </c>
      <c r="D170" t="inlineStr">
        <is>
          <t>Dil. B (1+31)</t>
        </is>
      </c>
      <c r="F170" t="n">
        <v>5</v>
      </c>
      <c r="I170" t="n">
        <v>6.5</v>
      </c>
      <c r="J170" t="n">
        <v>8.5</v>
      </c>
      <c r="K170" t="n">
        <v>11</v>
      </c>
      <c r="L170" t="inlineStr">
        <is>
          <t>Lomography oficial</t>
        </is>
      </c>
    </row>
    <row r="171">
      <c r="A171" t="inlineStr">
        <is>
          <t>Lomo Earl Grey 100</t>
        </is>
      </c>
      <c r="B171" t="n">
        <v>100</v>
      </c>
      <c r="C171" t="inlineStr">
        <is>
          <t>Rodinal</t>
        </is>
      </c>
      <c r="D171" t="inlineStr">
        <is>
          <t>1+50</t>
        </is>
      </c>
      <c r="F171" t="n">
        <v>8</v>
      </c>
      <c r="I171" t="n">
        <v>10.5</v>
      </c>
      <c r="J171" t="n">
        <v>13.5</v>
      </c>
      <c r="K171" t="n">
        <v>17.5</v>
      </c>
      <c r="L171" t="inlineStr">
        <is>
          <t>Lomography oficial</t>
        </is>
      </c>
    </row>
    <row r="172">
      <c r="A172" t="inlineStr">
        <is>
          <t>Lomo Earl Grey 100</t>
        </is>
      </c>
      <c r="B172" t="n">
        <v>100</v>
      </c>
      <c r="C172" t="inlineStr">
        <is>
          <t>Ilfosol 3</t>
        </is>
      </c>
      <c r="D172" t="inlineStr">
        <is>
          <t>1+9</t>
        </is>
      </c>
      <c r="F172" t="n">
        <v>5</v>
      </c>
      <c r="I172" t="n">
        <v>6.5</v>
      </c>
      <c r="J172" t="n">
        <v>8.5</v>
      </c>
      <c r="K172" t="n">
        <v>11</v>
      </c>
      <c r="L172" t="inlineStr">
        <is>
          <t>Lomography oficial</t>
        </is>
      </c>
    </row>
    <row r="173">
      <c r="A173" t="inlineStr">
        <is>
          <t>Lomo Berlin Kino 400</t>
        </is>
      </c>
      <c r="B173" t="n">
        <v>400</v>
      </c>
      <c r="C173" t="inlineStr">
        <is>
          <t>D-76</t>
        </is>
      </c>
      <c r="D173" t="inlineStr">
        <is>
          <t>Stock</t>
        </is>
      </c>
      <c r="F173" t="n">
        <v>8</v>
      </c>
      <c r="I173" t="n">
        <v>10</v>
      </c>
      <c r="J173" t="n">
        <v>13</v>
      </c>
      <c r="K173" t="n">
        <v>17</v>
      </c>
      <c r="L173" t="inlineStr">
        <is>
          <t>Lomography oficial</t>
        </is>
      </c>
    </row>
    <row r="174">
      <c r="A174" t="inlineStr">
        <is>
          <t>Lomo Berlin Kino 400</t>
        </is>
      </c>
      <c r="B174" t="n">
        <v>400</v>
      </c>
      <c r="C174" t="inlineStr">
        <is>
          <t>D-76</t>
        </is>
      </c>
      <c r="D174" t="inlineStr">
        <is>
          <t>1+1</t>
        </is>
      </c>
      <c r="F174" t="n">
        <v>10</v>
      </c>
      <c r="I174" t="n">
        <v>13</v>
      </c>
      <c r="J174" t="n">
        <v>17</v>
      </c>
      <c r="K174" t="n">
        <v>22</v>
      </c>
      <c r="L174" t="inlineStr">
        <is>
          <t>Lomography oficial</t>
        </is>
      </c>
    </row>
    <row r="175">
      <c r="A175" t="inlineStr">
        <is>
          <t>Lomo Berlin Kino 400</t>
        </is>
      </c>
      <c r="B175" t="n">
        <v>400</v>
      </c>
      <c r="C175" t="inlineStr">
        <is>
          <t>HC-110</t>
        </is>
      </c>
      <c r="D175" t="inlineStr">
        <is>
          <t>Dil. B (1+31)</t>
        </is>
      </c>
      <c r="F175" t="n">
        <v>6</v>
      </c>
      <c r="I175" t="n">
        <v>8</v>
      </c>
      <c r="J175" t="n">
        <v>11</v>
      </c>
      <c r="K175" t="n">
        <v>14.5</v>
      </c>
      <c r="L175" t="inlineStr">
        <is>
          <t>Lomography oficial</t>
        </is>
      </c>
    </row>
    <row r="176">
      <c r="A176" t="inlineStr">
        <is>
          <t>Lomo Berlin Kino 400</t>
        </is>
      </c>
      <c r="B176" t="n">
        <v>400</v>
      </c>
      <c r="C176" t="inlineStr">
        <is>
          <t>Rodinal</t>
        </is>
      </c>
      <c r="D176" t="inlineStr">
        <is>
          <t>1+25</t>
        </is>
      </c>
      <c r="F176" t="n">
        <v>9</v>
      </c>
      <c r="I176" t="n">
        <v>12</v>
      </c>
      <c r="J176" t="n">
        <v>15.5</v>
      </c>
      <c r="K176" t="n">
        <v>20</v>
      </c>
      <c r="L176" t="inlineStr">
        <is>
          <t>Lomography oficial</t>
        </is>
      </c>
    </row>
    <row r="177">
      <c r="A177" t="inlineStr">
        <is>
          <t>Lomo Berlin Kino 400</t>
        </is>
      </c>
      <c r="B177" t="n">
        <v>400</v>
      </c>
      <c r="C177" t="inlineStr">
        <is>
          <t>Rodinal</t>
        </is>
      </c>
      <c r="D177" t="inlineStr">
        <is>
          <t>1+50</t>
        </is>
      </c>
      <c r="F177" t="n">
        <v>13</v>
      </c>
      <c r="I177" t="n">
        <v>17</v>
      </c>
      <c r="J177" t="n">
        <v>22</v>
      </c>
      <c r="K177" t="n">
        <v>28.5</v>
      </c>
      <c r="L177" t="inlineStr">
        <is>
          <t>Lomography oficial</t>
        </is>
      </c>
    </row>
    <row r="178">
      <c r="A178" t="inlineStr">
        <is>
          <t>Lomo Berlin Kino 400</t>
        </is>
      </c>
      <c r="B178" t="n">
        <v>400</v>
      </c>
      <c r="C178" t="inlineStr">
        <is>
          <t>Ilfosol 3</t>
        </is>
      </c>
      <c r="D178" t="inlineStr">
        <is>
          <t>1+9</t>
        </is>
      </c>
      <c r="F178" t="n">
        <v>6</v>
      </c>
      <c r="I178" t="n">
        <v>8</v>
      </c>
      <c r="J178" t="n">
        <v>10.5</v>
      </c>
      <c r="K178" t="n">
        <v>13.5</v>
      </c>
      <c r="L178" t="inlineStr">
        <is>
          <t>Lomography oficial</t>
        </is>
      </c>
    </row>
    <row r="179">
      <c r="A179" t="inlineStr">
        <is>
          <t>Lomo Berlin Kino 400</t>
        </is>
      </c>
      <c r="B179" t="n">
        <v>400</v>
      </c>
      <c r="C179" t="inlineStr">
        <is>
          <t>XTOL</t>
        </is>
      </c>
      <c r="D179" t="inlineStr">
        <is>
          <t>Stock</t>
        </is>
      </c>
      <c r="F179" t="n">
        <v>8</v>
      </c>
      <c r="I179" t="n">
        <v>10</v>
      </c>
      <c r="J179" t="n">
        <v>13</v>
      </c>
      <c r="K179" t="n">
        <v>17</v>
      </c>
      <c r="L179" t="inlineStr">
        <is>
          <t>Lomography oficial</t>
        </is>
      </c>
    </row>
    <row r="180">
      <c r="A180" t="inlineStr">
        <is>
          <t>Lomo Potsdam Kino 100</t>
        </is>
      </c>
      <c r="B180" t="n">
        <v>100</v>
      </c>
      <c r="C180" t="inlineStr">
        <is>
          <t>D-76</t>
        </is>
      </c>
      <c r="D180" t="inlineStr">
        <is>
          <t>Stock</t>
        </is>
      </c>
      <c r="F180" t="n">
        <v>5.5</v>
      </c>
      <c r="I180" t="n">
        <v>7</v>
      </c>
      <c r="J180" t="n">
        <v>9</v>
      </c>
      <c r="K180" t="n">
        <v>11.5</v>
      </c>
      <c r="L180" t="inlineStr">
        <is>
          <t>Lomography oficial</t>
        </is>
      </c>
    </row>
    <row r="181">
      <c r="A181" t="inlineStr">
        <is>
          <t>Lomo Potsdam Kino 100</t>
        </is>
      </c>
      <c r="B181" t="n">
        <v>100</v>
      </c>
      <c r="C181" t="inlineStr">
        <is>
          <t>D-76</t>
        </is>
      </c>
      <c r="D181" t="inlineStr">
        <is>
          <t>1+1</t>
        </is>
      </c>
      <c r="F181" t="n">
        <v>7</v>
      </c>
      <c r="I181" t="n">
        <v>9</v>
      </c>
      <c r="J181" t="n">
        <v>11.5</v>
      </c>
      <c r="K181" t="n">
        <v>15</v>
      </c>
      <c r="L181" t="inlineStr">
        <is>
          <t>Lomography oficial</t>
        </is>
      </c>
    </row>
    <row r="182">
      <c r="A182" t="inlineStr">
        <is>
          <t>Lomo Potsdam Kino 100</t>
        </is>
      </c>
      <c r="B182" t="n">
        <v>100</v>
      </c>
      <c r="C182" t="inlineStr">
        <is>
          <t>HC-110</t>
        </is>
      </c>
      <c r="D182" t="inlineStr">
        <is>
          <t>1+11</t>
        </is>
      </c>
      <c r="F182" t="n">
        <v>6</v>
      </c>
      <c r="I182" t="n">
        <v>8</v>
      </c>
      <c r="J182" t="n">
        <v>10.5</v>
      </c>
      <c r="K182" t="n">
        <v>13.5</v>
      </c>
      <c r="L182" t="inlineStr">
        <is>
          <t>Lomography oficial</t>
        </is>
      </c>
    </row>
    <row r="183">
      <c r="A183" t="inlineStr">
        <is>
          <t>Lomo Potsdam Kino 100</t>
        </is>
      </c>
      <c r="B183" t="n">
        <v>100</v>
      </c>
      <c r="C183" t="inlineStr">
        <is>
          <t>Rodinal</t>
        </is>
      </c>
      <c r="D183" t="inlineStr">
        <is>
          <t>1+50</t>
        </is>
      </c>
      <c r="F183" t="n">
        <v>9.5</v>
      </c>
      <c r="I183" t="n">
        <v>12.5</v>
      </c>
      <c r="J183" t="n">
        <v>16</v>
      </c>
      <c r="K183" t="n">
        <v>21</v>
      </c>
      <c r="L183" t="inlineStr">
        <is>
          <t>Lomography oficial</t>
        </is>
      </c>
    </row>
    <row r="184">
      <c r="A184" t="inlineStr">
        <is>
          <t>Lomo Potsdam Kino 100</t>
        </is>
      </c>
      <c r="B184" t="n">
        <v>100</v>
      </c>
      <c r="C184" t="inlineStr">
        <is>
          <t>Ilfosol 3</t>
        </is>
      </c>
      <c r="D184" t="inlineStr">
        <is>
          <t>1+9</t>
        </is>
      </c>
      <c r="F184" t="n">
        <v>6</v>
      </c>
      <c r="I184" t="n">
        <v>8</v>
      </c>
      <c r="J184" t="n">
        <v>10.5</v>
      </c>
      <c r="K184" t="n">
        <v>13.5</v>
      </c>
      <c r="L184" t="inlineStr">
        <is>
          <t>Lomography oficial</t>
        </is>
      </c>
    </row>
    <row r="185">
      <c r="A185" t="inlineStr">
        <is>
          <t>Lomo Potsdam Kino 100</t>
        </is>
      </c>
      <c r="B185" t="n">
        <v>100</v>
      </c>
      <c r="C185" t="inlineStr">
        <is>
          <t>T-MAX Dev</t>
        </is>
      </c>
      <c r="D185" t="inlineStr">
        <is>
          <t>1+9</t>
        </is>
      </c>
      <c r="F185" t="n">
        <v>8</v>
      </c>
      <c r="I185" t="n">
        <v>10.5</v>
      </c>
      <c r="J185" t="n">
        <v>13.5</v>
      </c>
      <c r="K185" t="n">
        <v>17.5</v>
      </c>
      <c r="L185" t="inlineStr">
        <is>
          <t>Lomography / comunidad</t>
        </is>
      </c>
    </row>
    <row r="186">
      <c r="A186" t="inlineStr">
        <is>
          <t>Lomo Fantome Kino 8</t>
        </is>
      </c>
      <c r="B186" t="n">
        <v>8</v>
      </c>
      <c r="C186" t="inlineStr">
        <is>
          <t>D-96</t>
        </is>
      </c>
      <c r="D186" t="inlineStr">
        <is>
          <t>Stock</t>
        </is>
      </c>
      <c r="F186" t="n">
        <v>6</v>
      </c>
      <c r="I186" t="n">
        <v>8</v>
      </c>
      <c r="J186" t="n">
        <v>10.5</v>
      </c>
      <c r="K186" t="n">
        <v>13.5</v>
      </c>
      <c r="L186" t="inlineStr">
        <is>
          <t>Lomography film guide</t>
        </is>
      </c>
    </row>
    <row r="187">
      <c r="A187" t="inlineStr">
        <is>
          <t>Lomo Fantome Kino 8</t>
        </is>
      </c>
      <c r="B187" t="n">
        <v>8</v>
      </c>
      <c r="C187" t="inlineStr">
        <is>
          <t>HC-110</t>
        </is>
      </c>
      <c r="D187" t="inlineStr">
        <is>
          <t>Dil. B (1+31)</t>
        </is>
      </c>
      <c r="F187" t="n">
        <v>7</v>
      </c>
      <c r="I187" t="n">
        <v>9</v>
      </c>
      <c r="J187" t="n">
        <v>11.5</v>
      </c>
      <c r="K187" t="n">
        <v>15</v>
      </c>
      <c r="L187" t="inlineStr">
        <is>
          <t>Lomography film guide</t>
        </is>
      </c>
    </row>
    <row r="188">
      <c r="A188" t="inlineStr">
        <is>
          <t>Lomo Fantome Kino 8</t>
        </is>
      </c>
      <c r="B188" t="n">
        <v>8</v>
      </c>
      <c r="C188" t="inlineStr">
        <is>
          <t>Ilfotec HC</t>
        </is>
      </c>
      <c r="D188" t="inlineStr">
        <is>
          <t>1+31 (Dil.B)</t>
        </is>
      </c>
      <c r="F188" t="n">
        <v>7</v>
      </c>
      <c r="I188" t="n">
        <v>9</v>
      </c>
      <c r="J188" t="n">
        <v>11.5</v>
      </c>
      <c r="K188" t="n">
        <v>15</v>
      </c>
      <c r="L188" t="inlineStr">
        <is>
          <t>Lomography / comunidad</t>
        </is>
      </c>
    </row>
    <row r="189">
      <c r="A189" t="inlineStr">
        <is>
          <t>Lomo Fantome Kino 8</t>
        </is>
      </c>
      <c r="B189" t="n">
        <v>8</v>
      </c>
      <c r="C189" t="inlineStr">
        <is>
          <t>Ilfosol 3</t>
        </is>
      </c>
      <c r="D189" t="inlineStr">
        <is>
          <t>1+9</t>
        </is>
      </c>
      <c r="F189" t="n">
        <v>6</v>
      </c>
      <c r="I189" t="n">
        <v>8</v>
      </c>
      <c r="J189" t="n">
        <v>10.5</v>
      </c>
      <c r="K189" t="n">
        <v>13.5</v>
      </c>
      <c r="L189" t="inlineStr">
        <is>
          <t>Lomography film guide</t>
        </is>
      </c>
    </row>
    <row r="190">
      <c r="A190" t="inlineStr">
        <is>
          <t>Lomo Fantome Kino 8</t>
        </is>
      </c>
      <c r="B190" t="n">
        <v>8</v>
      </c>
      <c r="C190" t="inlineStr">
        <is>
          <t>Rodinal</t>
        </is>
      </c>
      <c r="D190" t="inlineStr">
        <is>
          <t>1+50</t>
        </is>
      </c>
      <c r="F190" t="n">
        <v>8</v>
      </c>
      <c r="I190" t="n">
        <v>10.5</v>
      </c>
      <c r="J190" t="n">
        <v>13.5</v>
      </c>
      <c r="K190" t="n">
        <v>17.5</v>
      </c>
      <c r="L190" t="inlineStr">
        <is>
          <t>Massive Dev / comunidad</t>
        </is>
      </c>
    </row>
    <row r="191">
      <c r="A191" t="inlineStr">
        <is>
          <t>Lomo Babylon Kino 13</t>
        </is>
      </c>
      <c r="B191" t="n">
        <v>13</v>
      </c>
      <c r="C191" t="inlineStr">
        <is>
          <t>Ilfotec HC</t>
        </is>
      </c>
      <c r="D191" t="inlineStr">
        <is>
          <t>1+31 (Dil.B)</t>
        </is>
      </c>
      <c r="F191" t="n">
        <v>8.5</v>
      </c>
      <c r="I191" t="n">
        <v>11</v>
      </c>
      <c r="J191" t="n">
        <v>14.5</v>
      </c>
      <c r="K191" t="n">
        <v>19</v>
      </c>
      <c r="L191" t="inlineStr">
        <is>
          <t>Comunidad / alexluyckx.com</t>
        </is>
      </c>
    </row>
    <row r="192">
      <c r="A192" t="inlineStr">
        <is>
          <t>Lomo Babylon Kino 13</t>
        </is>
      </c>
      <c r="B192" t="n">
        <v>13</v>
      </c>
      <c r="C192" t="inlineStr">
        <is>
          <t>HC-110</t>
        </is>
      </c>
      <c r="D192" t="inlineStr">
        <is>
          <t>Dil. B (1+31)</t>
        </is>
      </c>
      <c r="F192" t="n">
        <v>8.5</v>
      </c>
      <c r="I192" t="n">
        <v>11</v>
      </c>
      <c r="J192" t="n">
        <v>14.5</v>
      </c>
      <c r="K192" t="n">
        <v>19</v>
      </c>
      <c r="L192" t="inlineStr">
        <is>
          <t>Comunidad / alexluyckx.com</t>
        </is>
      </c>
    </row>
    <row r="193">
      <c r="A193" t="inlineStr">
        <is>
          <t>Lomo Babylon Kino 13</t>
        </is>
      </c>
      <c r="B193" t="n">
        <v>13</v>
      </c>
      <c r="C193" t="inlineStr">
        <is>
          <t>D-76</t>
        </is>
      </c>
      <c r="D193" t="inlineStr">
        <is>
          <t>Stock</t>
        </is>
      </c>
      <c r="F193" t="n">
        <v>7</v>
      </c>
      <c r="I193" t="n">
        <v>9</v>
      </c>
      <c r="J193" t="n">
        <v>11.5</v>
      </c>
      <c r="K193" t="n">
        <v>15</v>
      </c>
      <c r="L193" t="inlineStr">
        <is>
          <t>Estimado base ORWO DN21</t>
        </is>
      </c>
    </row>
    <row r="194">
      <c r="A194" t="inlineStr">
        <is>
          <t>JCH Streetpan 400</t>
        </is>
      </c>
      <c r="B194" t="n">
        <v>400</v>
      </c>
      <c r="C194" t="inlineStr">
        <is>
          <t>Rodinal</t>
        </is>
      </c>
      <c r="D194" t="inlineStr">
        <is>
          <t>1+25</t>
        </is>
      </c>
      <c r="F194" t="n">
        <v>10.5</v>
      </c>
      <c r="I194" t="n">
        <v>13.5</v>
      </c>
      <c r="J194" t="n">
        <v>17.5</v>
      </c>
      <c r="K194" t="n">
        <v>23</v>
      </c>
      <c r="L194" t="inlineStr">
        <is>
          <t>JCH oficial (carton)</t>
        </is>
      </c>
    </row>
    <row r="195">
      <c r="A195" t="inlineStr">
        <is>
          <t>JCH Streetpan 400</t>
        </is>
      </c>
      <c r="B195" t="n">
        <v>400</v>
      </c>
      <c r="C195" t="inlineStr">
        <is>
          <t>Rodinal</t>
        </is>
      </c>
      <c r="D195" t="inlineStr">
        <is>
          <t>1+50</t>
        </is>
      </c>
      <c r="F195" t="n">
        <v>22</v>
      </c>
      <c r="I195" t="n">
        <v>28.5</v>
      </c>
      <c r="J195" t="n">
        <v>37</v>
      </c>
      <c r="K195" t="n">
        <v>48</v>
      </c>
      <c r="L195" t="inlineStr">
        <is>
          <t>JCH oficial (carton)</t>
        </is>
      </c>
    </row>
    <row r="196">
      <c r="A196" t="inlineStr">
        <is>
          <t>JCH Streetpan 400</t>
        </is>
      </c>
      <c r="B196" t="n">
        <v>400</v>
      </c>
      <c r="C196" t="inlineStr">
        <is>
          <t>HC-110</t>
        </is>
      </c>
      <c r="D196" t="inlineStr">
        <is>
          <t>Dil. B (1+31)</t>
        </is>
      </c>
      <c r="F196" t="n">
        <v>5</v>
      </c>
      <c r="I196" t="n">
        <v>8</v>
      </c>
      <c r="J196" t="n">
        <v>11</v>
      </c>
      <c r="K196" t="n">
        <v>14.5</v>
      </c>
      <c r="L196" t="inlineStr">
        <is>
          <t>JCH oficial (carton)</t>
        </is>
      </c>
    </row>
    <row r="197">
      <c r="A197" t="inlineStr">
        <is>
          <t>JCH Streetpan 400</t>
        </is>
      </c>
      <c r="B197" t="n">
        <v>400</v>
      </c>
      <c r="C197" t="inlineStr">
        <is>
          <t>ID-11</t>
        </is>
      </c>
      <c r="D197" t="inlineStr">
        <is>
          <t>1+1</t>
        </is>
      </c>
      <c r="F197" t="n">
        <v>10.75</v>
      </c>
      <c r="I197" t="n">
        <v>14</v>
      </c>
      <c r="J197" t="n">
        <v>18</v>
      </c>
      <c r="K197" t="n">
        <v>23.5</v>
      </c>
      <c r="L197" t="inlineStr">
        <is>
          <t>JCH oficial (carton)</t>
        </is>
      </c>
    </row>
    <row r="198">
      <c r="A198" t="inlineStr">
        <is>
          <t>JCH Streetpan 400</t>
        </is>
      </c>
      <c r="B198" t="n">
        <v>400</v>
      </c>
      <c r="C198" t="inlineStr">
        <is>
          <t>D-76</t>
        </is>
      </c>
      <c r="D198" t="inlineStr">
        <is>
          <t>1+1</t>
        </is>
      </c>
      <c r="F198" t="n">
        <v>10.75</v>
      </c>
      <c r="I198" t="n">
        <v>14</v>
      </c>
      <c r="J198" t="n">
        <v>18</v>
      </c>
      <c r="K198" t="n">
        <v>23.5</v>
      </c>
      <c r="L198" t="inlineStr">
        <is>
          <t>JCH oficial (carton)</t>
        </is>
      </c>
    </row>
    <row r="199">
      <c r="A199" t="inlineStr">
        <is>
          <t>JCH Streetpan 400</t>
        </is>
      </c>
      <c r="B199" t="n">
        <v>400</v>
      </c>
      <c r="C199" t="inlineStr">
        <is>
          <t>Perceptol</t>
        </is>
      </c>
      <c r="D199" t="inlineStr">
        <is>
          <t>1+1</t>
        </is>
      </c>
      <c r="F199" t="n">
        <v>10</v>
      </c>
      <c r="I199" t="n">
        <v>13</v>
      </c>
      <c r="J199" t="n">
        <v>17</v>
      </c>
      <c r="K199" t="n">
        <v>22</v>
      </c>
      <c r="L199" t="inlineStr">
        <is>
          <t>JCH oficial (carton)</t>
        </is>
      </c>
    </row>
    <row r="200">
      <c r="A200" t="inlineStr">
        <is>
          <t>JCH Streetpan 400</t>
        </is>
      </c>
      <c r="B200" t="n">
        <v>400</v>
      </c>
      <c r="C200" t="inlineStr">
        <is>
          <t>Ilfosol 3</t>
        </is>
      </c>
      <c r="D200" t="inlineStr">
        <is>
          <t>1+3</t>
        </is>
      </c>
      <c r="F200" t="n">
        <v>5</v>
      </c>
      <c r="I200" t="n">
        <v>6.5</v>
      </c>
      <c r="J200" t="n">
        <v>8.5</v>
      </c>
      <c r="K200" t="n">
        <v>11</v>
      </c>
      <c r="L200" t="inlineStr">
        <is>
          <t>JCH oficial (carton)</t>
        </is>
      </c>
    </row>
    <row r="201">
      <c r="A201" t="inlineStr">
        <is>
          <t>JCH Streetpan 400</t>
        </is>
      </c>
      <c r="B201" t="n">
        <v>400</v>
      </c>
      <c r="C201" t="inlineStr">
        <is>
          <t>XTOL</t>
        </is>
      </c>
      <c r="D201" t="inlineStr">
        <is>
          <t>1+1</t>
        </is>
      </c>
      <c r="F201" t="n">
        <v>17</v>
      </c>
      <c r="I201" t="n">
        <v>22</v>
      </c>
      <c r="J201" t="n">
        <v>28.5</v>
      </c>
      <c r="K201" t="n">
        <v>37</v>
      </c>
      <c r="L201" t="inlineStr">
        <is>
          <t>JCH oficial (carton)</t>
        </is>
      </c>
    </row>
    <row r="202">
      <c r="A202" t="inlineStr">
        <is>
          <t>JCH Streetpan 400</t>
        </is>
      </c>
      <c r="B202" t="n">
        <v>400</v>
      </c>
      <c r="C202" t="inlineStr">
        <is>
          <t>T-MAX Dev</t>
        </is>
      </c>
      <c r="D202" t="inlineStr">
        <is>
          <t>1+4</t>
        </is>
      </c>
      <c r="F202" t="n">
        <v>9</v>
      </c>
      <c r="I202" t="n">
        <v>11.5</v>
      </c>
      <c r="J202" t="n">
        <v>15</v>
      </c>
      <c r="K202" t="n">
        <v>19.5</v>
      </c>
      <c r="L202" t="inlineStr">
        <is>
          <t>JCH / comunidad</t>
        </is>
      </c>
    </row>
    <row r="203">
      <c r="A203" t="inlineStr">
        <is>
          <t>Kosmo Foto Mono 100</t>
        </is>
      </c>
      <c r="B203" t="n">
        <v>100</v>
      </c>
      <c r="C203" t="inlineStr">
        <is>
          <t>D-76</t>
        </is>
      </c>
      <c r="D203" t="inlineStr">
        <is>
          <t>Stock</t>
        </is>
      </c>
      <c r="F203" t="n">
        <v>7</v>
      </c>
      <c r="I203" t="n">
        <v>9</v>
      </c>
      <c r="J203" t="n">
        <v>11.5</v>
      </c>
      <c r="K203" t="n">
        <v>15</v>
      </c>
      <c r="L203" t="inlineStr">
        <is>
          <t>Kosmo Foto oficial</t>
        </is>
      </c>
    </row>
    <row r="204">
      <c r="A204" t="inlineStr">
        <is>
          <t>Kosmo Foto Mono 100</t>
        </is>
      </c>
      <c r="B204" t="n">
        <v>100</v>
      </c>
      <c r="C204" t="inlineStr">
        <is>
          <t>D-76</t>
        </is>
      </c>
      <c r="D204" t="inlineStr">
        <is>
          <t>1+1</t>
        </is>
      </c>
      <c r="F204" t="n">
        <v>9</v>
      </c>
      <c r="I204" t="n">
        <v>11.5</v>
      </c>
      <c r="J204" t="n">
        <v>15</v>
      </c>
      <c r="K204" t="n">
        <v>19.5</v>
      </c>
      <c r="L204" t="inlineStr">
        <is>
          <t>Kosmo Foto oficial</t>
        </is>
      </c>
    </row>
    <row r="205">
      <c r="A205" t="inlineStr">
        <is>
          <t>Kosmo Foto Mono 100</t>
        </is>
      </c>
      <c r="B205" t="n">
        <v>100</v>
      </c>
      <c r="C205" t="inlineStr">
        <is>
          <t>ID-11</t>
        </is>
      </c>
      <c r="D205" t="inlineStr">
        <is>
          <t>Stock</t>
        </is>
      </c>
      <c r="F205" t="n">
        <v>7</v>
      </c>
      <c r="I205" t="n">
        <v>9</v>
      </c>
      <c r="J205" t="n">
        <v>11.5</v>
      </c>
      <c r="K205" t="n">
        <v>15</v>
      </c>
      <c r="L205" t="inlineStr">
        <is>
          <t>Kosmo Foto oficial</t>
        </is>
      </c>
    </row>
    <row r="206">
      <c r="A206" t="inlineStr">
        <is>
          <t>Kosmo Foto Mono 100</t>
        </is>
      </c>
      <c r="B206" t="n">
        <v>100</v>
      </c>
      <c r="C206" t="inlineStr">
        <is>
          <t>ID-11</t>
        </is>
      </c>
      <c r="D206" t="inlineStr">
        <is>
          <t>1+1</t>
        </is>
      </c>
      <c r="F206" t="n">
        <v>9</v>
      </c>
      <c r="I206" t="n">
        <v>11.5</v>
      </c>
      <c r="J206" t="n">
        <v>15</v>
      </c>
      <c r="K206" t="n">
        <v>19.5</v>
      </c>
      <c r="L206" t="inlineStr">
        <is>
          <t>Kosmo Foto oficial</t>
        </is>
      </c>
    </row>
    <row r="207">
      <c r="A207" t="inlineStr">
        <is>
          <t>Kosmo Foto Mono 100</t>
        </is>
      </c>
      <c r="B207" t="n">
        <v>100</v>
      </c>
      <c r="C207" t="inlineStr">
        <is>
          <t>Rodinal</t>
        </is>
      </c>
      <c r="D207" t="inlineStr">
        <is>
          <t>1+25</t>
        </is>
      </c>
      <c r="F207" t="n">
        <v>3.5</v>
      </c>
      <c r="I207" t="n">
        <v>4.5</v>
      </c>
      <c r="J207" t="n">
        <v>6</v>
      </c>
      <c r="K207" t="n">
        <v>8</v>
      </c>
      <c r="L207" t="inlineStr">
        <is>
          <t>Kosmo Foto oficial</t>
        </is>
      </c>
    </row>
    <row r="208">
      <c r="A208" t="inlineStr">
        <is>
          <t>Kosmo Foto Mono 100</t>
        </is>
      </c>
      <c r="B208" t="n">
        <v>100</v>
      </c>
      <c r="C208" t="inlineStr">
        <is>
          <t>Rodinal</t>
        </is>
      </c>
      <c r="D208" t="inlineStr">
        <is>
          <t>1+50</t>
        </is>
      </c>
      <c r="F208" t="n">
        <v>7.5</v>
      </c>
      <c r="I208" t="n">
        <v>10</v>
      </c>
      <c r="J208" t="n">
        <v>13</v>
      </c>
      <c r="K208" t="n">
        <v>17</v>
      </c>
      <c r="L208" t="inlineStr">
        <is>
          <t>Kosmo Foto / comunidad</t>
        </is>
      </c>
    </row>
    <row r="209">
      <c r="A209" t="inlineStr">
        <is>
          <t>Kosmo Foto Mono 100</t>
        </is>
      </c>
      <c r="B209" t="n">
        <v>100</v>
      </c>
      <c r="C209" t="inlineStr">
        <is>
          <t>Perceptol</t>
        </is>
      </c>
      <c r="D209" t="inlineStr">
        <is>
          <t>Stock</t>
        </is>
      </c>
      <c r="F209" t="n">
        <v>6</v>
      </c>
      <c r="I209" t="n">
        <v>8</v>
      </c>
      <c r="J209" t="n">
        <v>10.5</v>
      </c>
      <c r="K209" t="n">
        <v>13.5</v>
      </c>
      <c r="L209" t="inlineStr">
        <is>
          <t>Kosmo Foto oficial</t>
        </is>
      </c>
    </row>
    <row r="210">
      <c r="A210" t="inlineStr">
        <is>
          <t>Kosmo Foto Mono 100</t>
        </is>
      </c>
      <c r="B210" t="n">
        <v>100</v>
      </c>
      <c r="C210" t="inlineStr">
        <is>
          <t>Perceptol</t>
        </is>
      </c>
      <c r="D210" t="inlineStr">
        <is>
          <t>1+1</t>
        </is>
      </c>
      <c r="F210" t="n">
        <v>9</v>
      </c>
      <c r="I210" t="n">
        <v>11.5</v>
      </c>
      <c r="J210" t="n">
        <v>15</v>
      </c>
      <c r="K210" t="n">
        <v>19.5</v>
      </c>
      <c r="L210" t="inlineStr">
        <is>
          <t>Kosmo Foto oficial</t>
        </is>
      </c>
    </row>
    <row r="211">
      <c r="A211" t="inlineStr">
        <is>
          <t>Kosmo Foto Mono 100</t>
        </is>
      </c>
      <c r="B211" t="n">
        <v>100</v>
      </c>
      <c r="C211" t="inlineStr">
        <is>
          <t>Microphen</t>
        </is>
      </c>
      <c r="D211" t="inlineStr">
        <is>
          <t>Stock</t>
        </is>
      </c>
      <c r="F211" t="n">
        <v>5</v>
      </c>
      <c r="I211" t="n">
        <v>6.5</v>
      </c>
      <c r="J211" t="n">
        <v>8.5</v>
      </c>
      <c r="K211" t="n">
        <v>11</v>
      </c>
      <c r="L211" t="inlineStr">
        <is>
          <t>Kosmo Foto oficial</t>
        </is>
      </c>
    </row>
    <row r="212">
      <c r="A212" t="inlineStr">
        <is>
          <t>Kosmo Foto Mono 100</t>
        </is>
      </c>
      <c r="B212" t="n">
        <v>100</v>
      </c>
      <c r="C212" t="inlineStr">
        <is>
          <t>Ilfotec DD-X</t>
        </is>
      </c>
      <c r="D212" t="inlineStr">
        <is>
          <t>1+4</t>
        </is>
      </c>
      <c r="F212" t="n">
        <v>8</v>
      </c>
      <c r="I212" t="n">
        <v>10.5</v>
      </c>
      <c r="J212" t="n">
        <v>13.5</v>
      </c>
      <c r="K212" t="n">
        <v>17.5</v>
      </c>
      <c r="L212" t="inlineStr">
        <is>
          <t>Kosmo Foto oficial</t>
        </is>
      </c>
    </row>
    <row r="213">
      <c r="A213" t="inlineStr">
        <is>
          <t>Kosmo Foto Mono 100</t>
        </is>
      </c>
      <c r="B213" t="n">
        <v>100</v>
      </c>
      <c r="C213" t="inlineStr">
        <is>
          <t>T-MAX Dev</t>
        </is>
      </c>
      <c r="D213" t="inlineStr">
        <is>
          <t>1+4</t>
        </is>
      </c>
      <c r="F213" t="n">
        <v>5.5</v>
      </c>
      <c r="I213" t="n">
        <v>7</v>
      </c>
      <c r="J213" t="n">
        <v>9</v>
      </c>
      <c r="K213" t="n">
        <v>11.5</v>
      </c>
      <c r="L213" t="inlineStr">
        <is>
          <t>Kosmo Foto / comunidad</t>
        </is>
      </c>
    </row>
    <row r="214">
      <c r="A214" t="inlineStr">
        <is>
          <t>Kosmo Foto Mono 100</t>
        </is>
      </c>
      <c r="B214" t="n">
        <v>100</v>
      </c>
      <c r="C214" t="inlineStr">
        <is>
          <t>XTOL</t>
        </is>
      </c>
      <c r="D214" t="inlineStr">
        <is>
          <t>Stock</t>
        </is>
      </c>
      <c r="F214" t="n">
        <v>6.5</v>
      </c>
      <c r="I214" t="n">
        <v>8.5</v>
      </c>
      <c r="J214" t="n">
        <v>11</v>
      </c>
      <c r="K214" t="n">
        <v>14.5</v>
      </c>
      <c r="L214" t="inlineStr">
        <is>
          <t>Kosmo Foto oficial</t>
        </is>
      </c>
    </row>
    <row r="215">
      <c r="A215" t="inlineStr">
        <is>
          <t>Kodak Double-X 5222</t>
        </is>
      </c>
      <c r="B215" t="n">
        <v>250</v>
      </c>
      <c r="C215" t="inlineStr">
        <is>
          <t>D-96</t>
        </is>
      </c>
      <c r="D215" t="inlineStr">
        <is>
          <t>Stock</t>
        </is>
      </c>
      <c r="F215" t="n">
        <v>6</v>
      </c>
      <c r="I215" t="n">
        <v>8</v>
      </c>
      <c r="J215" t="n">
        <v>11</v>
      </c>
      <c r="K215" t="n">
        <v>14.5</v>
      </c>
      <c r="L215" t="inlineStr">
        <is>
          <t>Kodak EI-200 oficial</t>
        </is>
      </c>
    </row>
    <row r="216">
      <c r="A216" t="inlineStr">
        <is>
          <t>Kodak Double-X 5222</t>
        </is>
      </c>
      <c r="B216" t="n">
        <v>250</v>
      </c>
      <c r="C216" t="inlineStr">
        <is>
          <t>D-96</t>
        </is>
      </c>
      <c r="D216" t="inlineStr">
        <is>
          <t>1+1</t>
        </is>
      </c>
      <c r="F216" t="n">
        <v>8.5</v>
      </c>
      <c r="I216" t="n">
        <v>11</v>
      </c>
      <c r="J216" t="n">
        <v>14.5</v>
      </c>
      <c r="K216" t="n">
        <v>19</v>
      </c>
      <c r="L216" t="inlineStr">
        <is>
          <t>Kodak / comunidad</t>
        </is>
      </c>
    </row>
    <row r="217">
      <c r="A217" t="inlineStr">
        <is>
          <t>Kodak Double-X 5222</t>
        </is>
      </c>
      <c r="B217" t="n">
        <v>250</v>
      </c>
      <c r="C217" t="inlineStr">
        <is>
          <t>D-76</t>
        </is>
      </c>
      <c r="D217" t="inlineStr">
        <is>
          <t>Stock</t>
        </is>
      </c>
      <c r="F217" t="n">
        <v>9.75</v>
      </c>
      <c r="I217" t="n">
        <v>13</v>
      </c>
      <c r="J217" t="n">
        <v>18</v>
      </c>
      <c r="K217" t="n">
        <v>23.5</v>
      </c>
      <c r="L217" t="inlineStr">
        <is>
          <t>Kodak F-4017 / CineStill</t>
        </is>
      </c>
    </row>
    <row r="218">
      <c r="A218" t="inlineStr">
        <is>
          <t>Kodak Double-X 5222</t>
        </is>
      </c>
      <c r="B218" t="n">
        <v>250</v>
      </c>
      <c r="C218" t="inlineStr">
        <is>
          <t>D-76</t>
        </is>
      </c>
      <c r="D218" t="inlineStr">
        <is>
          <t>1+1</t>
        </is>
      </c>
      <c r="F218" t="n">
        <v>10</v>
      </c>
      <c r="I218" t="n">
        <v>13.5</v>
      </c>
      <c r="J218" t="n">
        <v>17.5</v>
      </c>
      <c r="K218" t="n">
        <v>23</v>
      </c>
      <c r="L218" t="inlineStr">
        <is>
          <t>Kodak / comunidad</t>
        </is>
      </c>
    </row>
    <row r="219">
      <c r="A219" t="inlineStr">
        <is>
          <t>Kodak Double-X 5222</t>
        </is>
      </c>
      <c r="B219" t="n">
        <v>250</v>
      </c>
      <c r="C219" t="inlineStr">
        <is>
          <t>D-76</t>
        </is>
      </c>
      <c r="D219" t="inlineStr">
        <is>
          <t>1+2</t>
        </is>
      </c>
      <c r="F219" t="n">
        <v>11</v>
      </c>
      <c r="I219" t="n">
        <v>14.5</v>
      </c>
      <c r="J219" t="n">
        <v>19</v>
      </c>
      <c r="K219" t="n">
        <v>24.5</v>
      </c>
      <c r="L219" t="inlineStr">
        <is>
          <t>Comunidad documentada</t>
        </is>
      </c>
    </row>
    <row r="220">
      <c r="A220" t="inlineStr">
        <is>
          <t>Kodak Double-X 5222</t>
        </is>
      </c>
      <c r="B220" t="n">
        <v>250</v>
      </c>
      <c r="C220" t="inlineStr">
        <is>
          <t>HC-110</t>
        </is>
      </c>
      <c r="D220" t="inlineStr">
        <is>
          <t>Dil. B (1+31)</t>
        </is>
      </c>
      <c r="F220" t="n">
        <v>6</v>
      </c>
      <c r="I220" t="n">
        <v>9</v>
      </c>
      <c r="J220" t="n">
        <v>13</v>
      </c>
      <c r="K220" t="n">
        <v>17</v>
      </c>
      <c r="L220" t="inlineStr">
        <is>
          <t>Kodak J-24 / CineStill</t>
        </is>
      </c>
    </row>
    <row r="221">
      <c r="A221" t="inlineStr">
        <is>
          <t>Kodak Double-X 5222</t>
        </is>
      </c>
      <c r="B221" t="n">
        <v>250</v>
      </c>
      <c r="C221" t="inlineStr">
        <is>
          <t>HC-110</t>
        </is>
      </c>
      <c r="D221" t="inlineStr">
        <is>
          <t>Dil. H (1+63)</t>
        </is>
      </c>
      <c r="F221" t="n">
        <v>10</v>
      </c>
      <c r="I221" t="n">
        <v>13</v>
      </c>
      <c r="J221" t="n">
        <v>17</v>
      </c>
      <c r="K221" t="n">
        <v>22</v>
      </c>
      <c r="L221" t="inlineStr">
        <is>
          <t>Comunidad documentada</t>
        </is>
      </c>
    </row>
    <row r="222">
      <c r="A222" t="inlineStr">
        <is>
          <t>Kodak Double-X 5222</t>
        </is>
      </c>
      <c r="B222" t="n">
        <v>250</v>
      </c>
      <c r="C222" t="inlineStr">
        <is>
          <t>Rodinal</t>
        </is>
      </c>
      <c r="D222" t="inlineStr">
        <is>
          <t>1+25</t>
        </is>
      </c>
      <c r="F222" t="n">
        <v>9</v>
      </c>
      <c r="I222" t="n">
        <v>13</v>
      </c>
      <c r="J222" t="n">
        <v>17</v>
      </c>
      <c r="K222" t="n">
        <v>22</v>
      </c>
      <c r="L222" t="inlineStr">
        <is>
          <t>CineStill / Bergger</t>
        </is>
      </c>
    </row>
    <row r="223">
      <c r="A223" t="inlineStr">
        <is>
          <t>Kodak Double-X 5222</t>
        </is>
      </c>
      <c r="B223" t="n">
        <v>250</v>
      </c>
      <c r="C223" t="inlineStr">
        <is>
          <t>Rodinal</t>
        </is>
      </c>
      <c r="D223" t="inlineStr">
        <is>
          <t>1+50</t>
        </is>
      </c>
      <c r="F223" t="n">
        <v>9</v>
      </c>
      <c r="I223" t="n">
        <v>11.5</v>
      </c>
      <c r="J223" t="n">
        <v>15</v>
      </c>
      <c r="K223" t="n">
        <v>19.5</v>
      </c>
      <c r="L223" t="inlineStr">
        <is>
          <t>CineStill / Bergger</t>
        </is>
      </c>
    </row>
    <row r="224">
      <c r="A224" t="inlineStr">
        <is>
          <t>Kodak Double-X 5222</t>
        </is>
      </c>
      <c r="B224" t="n">
        <v>250</v>
      </c>
      <c r="C224" t="inlineStr">
        <is>
          <t>XTOL</t>
        </is>
      </c>
      <c r="D224" t="inlineStr">
        <is>
          <t>Stock</t>
        </is>
      </c>
      <c r="F224" t="n">
        <v>9.75</v>
      </c>
      <c r="I224" t="n">
        <v>11.5</v>
      </c>
      <c r="J224" t="n">
        <v>12</v>
      </c>
      <c r="K224" t="n">
        <v>15.5</v>
      </c>
      <c r="L224" t="inlineStr">
        <is>
          <t>Comunidad / Kodak F-4017</t>
        </is>
      </c>
    </row>
    <row r="225">
      <c r="A225" t="inlineStr">
        <is>
          <t>Kodak Double-X 5222</t>
        </is>
      </c>
      <c r="B225" t="n">
        <v>250</v>
      </c>
      <c r="C225" t="inlineStr">
        <is>
          <t>XTOL</t>
        </is>
      </c>
      <c r="D225" t="inlineStr">
        <is>
          <t>1+1</t>
        </is>
      </c>
      <c r="F225" t="n">
        <v>13.25</v>
      </c>
      <c r="I225" t="n">
        <v>15.5</v>
      </c>
      <c r="J225" t="n">
        <v>20</v>
      </c>
      <c r="K225" t="n">
        <v>26</v>
      </c>
      <c r="L225" t="inlineStr">
        <is>
          <t>Comunidad documentada</t>
        </is>
      </c>
    </row>
    <row r="226">
      <c r="A226" t="inlineStr">
        <is>
          <t>Kodak Double-X 5222</t>
        </is>
      </c>
      <c r="B226" t="n">
        <v>250</v>
      </c>
      <c r="C226" t="inlineStr">
        <is>
          <t>ID-11</t>
        </is>
      </c>
      <c r="D226" t="inlineStr">
        <is>
          <t>Stock</t>
        </is>
      </c>
      <c r="F226" t="n">
        <v>9.5</v>
      </c>
      <c r="I226" t="n">
        <v>12.5</v>
      </c>
      <c r="J226" t="n">
        <v>16</v>
      </c>
      <c r="K226" t="n">
        <v>21</v>
      </c>
      <c r="L226" t="inlineStr">
        <is>
          <t>Comunidad documentada</t>
        </is>
      </c>
    </row>
    <row r="227">
      <c r="A227" t="inlineStr">
        <is>
          <t>Kodak Double-X 5222</t>
        </is>
      </c>
      <c r="B227" t="n">
        <v>250</v>
      </c>
      <c r="C227" t="inlineStr">
        <is>
          <t>Microphen</t>
        </is>
      </c>
      <c r="D227" t="inlineStr">
        <is>
          <t>Stock</t>
        </is>
      </c>
      <c r="F227" t="n">
        <v>8.5</v>
      </c>
      <c r="I227" t="n">
        <v>11</v>
      </c>
      <c r="J227" t="n">
        <v>14.5</v>
      </c>
      <c r="K227" t="n">
        <v>19</v>
      </c>
      <c r="L227" t="inlineStr">
        <is>
          <t>Comunidad documentada</t>
        </is>
      </c>
    </row>
    <row r="228">
      <c r="A228" t="inlineStr">
        <is>
          <t>Kodak Double-X 5222</t>
        </is>
      </c>
      <c r="B228" t="n">
        <v>250</v>
      </c>
      <c r="C228" t="inlineStr">
        <is>
          <t>Ilfosol 3</t>
        </is>
      </c>
      <c r="D228" t="inlineStr">
        <is>
          <t>1+9</t>
        </is>
      </c>
      <c r="F228" t="n">
        <v>6.5</v>
      </c>
      <c r="I228" t="n">
        <v>8.5</v>
      </c>
      <c r="J228" t="n">
        <v>11</v>
      </c>
      <c r="K228" t="n">
        <v>14.5</v>
      </c>
      <c r="L228" t="inlineStr">
        <is>
          <t>Comunidad documentada</t>
        </is>
      </c>
    </row>
    <row r="229">
      <c r="A229" t="inlineStr">
        <is>
          <t>Bergger Pancro 400</t>
        </is>
      </c>
      <c r="B229" t="n">
        <v>400</v>
      </c>
      <c r="C229" t="inlineStr">
        <is>
          <t>Romek PQ6</t>
        </is>
      </c>
      <c r="D229" t="inlineStr">
        <is>
          <t>1+3 (verificar)</t>
        </is>
      </c>
      <c r="F229" t="n">
        <v>8</v>
      </c>
      <c r="I229" t="n">
        <v>10.5</v>
      </c>
      <c r="J229" t="n">
        <v>13.5</v>
      </c>
      <c r="K229" t="n">
        <v>17.5</v>
      </c>
      <c r="L229" t="inlineStr">
        <is>
          <t>Romek Argentina / Labo Los Alos</t>
        </is>
      </c>
    </row>
    <row r="230">
      <c r="A230" t="inlineStr">
        <is>
          <t>Fomapan 400</t>
        </is>
      </c>
      <c r="B230" t="n">
        <v>400</v>
      </c>
      <c r="C230" t="inlineStr">
        <is>
          <t>Romek PQ6</t>
        </is>
      </c>
      <c r="D230" t="inlineStr">
        <is>
          <t>1+3 (verificar)</t>
        </is>
      </c>
      <c r="F230" t="n">
        <v>8</v>
      </c>
      <c r="I230" t="n">
        <v>10.5</v>
      </c>
      <c r="J230" t="n">
        <v>13.5</v>
      </c>
      <c r="K230" t="n">
        <v>17.5</v>
      </c>
      <c r="L230" t="inlineStr">
        <is>
          <t>Romek Argentina / Labo Los Alos</t>
        </is>
      </c>
    </row>
    <row r="231">
      <c r="A231" t="inlineStr">
        <is>
          <t>Ilford Delta 400</t>
        </is>
      </c>
      <c r="B231" t="n">
        <v>400</v>
      </c>
      <c r="C231" t="inlineStr">
        <is>
          <t>Romek PQ6</t>
        </is>
      </c>
      <c r="D231" t="inlineStr">
        <is>
          <t>1+3 (verificar)</t>
        </is>
      </c>
      <c r="F231" t="n">
        <v>8</v>
      </c>
      <c r="I231" t="n">
        <v>10.5</v>
      </c>
      <c r="J231" t="n">
        <v>13.5</v>
      </c>
      <c r="K231" t="n">
        <v>17.5</v>
      </c>
      <c r="L231" t="inlineStr">
        <is>
          <t>Romek Argentina / Labo Los Alos</t>
        </is>
      </c>
    </row>
    <row r="232">
      <c r="A232" t="inlineStr">
        <is>
          <t>Ilford HP5 Plus</t>
        </is>
      </c>
      <c r="B232" t="n">
        <v>400</v>
      </c>
      <c r="C232" t="inlineStr">
        <is>
          <t>Romek PQ6</t>
        </is>
      </c>
      <c r="D232" t="inlineStr">
        <is>
          <t>1+3 (verificar)</t>
        </is>
      </c>
      <c r="F232" t="n">
        <v>8</v>
      </c>
      <c r="I232" t="n">
        <v>10.5</v>
      </c>
      <c r="J232" t="n">
        <v>13.5</v>
      </c>
      <c r="K232" t="n">
        <v>17.5</v>
      </c>
      <c r="L232" t="inlineStr">
        <is>
          <t>Romek Argentina / Labo Los Alos</t>
        </is>
      </c>
    </row>
    <row r="233">
      <c r="A233" t="inlineStr">
        <is>
          <t>Ilford Kentmere 400</t>
        </is>
      </c>
      <c r="B233" t="n">
        <v>400</v>
      </c>
      <c r="C233" t="inlineStr">
        <is>
          <t>Romek PQ6</t>
        </is>
      </c>
      <c r="D233" t="inlineStr">
        <is>
          <t>1+3 (verificar)</t>
        </is>
      </c>
      <c r="F233" t="n">
        <v>8</v>
      </c>
      <c r="I233" t="n">
        <v>10.5</v>
      </c>
      <c r="J233" t="n">
        <v>13.5</v>
      </c>
      <c r="K233" t="n">
        <v>17.5</v>
      </c>
      <c r="L233" t="inlineStr">
        <is>
          <t>Romek Argentina / Labo Los Alos</t>
        </is>
      </c>
    </row>
    <row r="234">
      <c r="A234" t="inlineStr">
        <is>
          <t>JCH Streetpan 400</t>
        </is>
      </c>
      <c r="B234" t="n">
        <v>400</v>
      </c>
      <c r="C234" t="inlineStr">
        <is>
          <t>Romek PQ6</t>
        </is>
      </c>
      <c r="D234" t="inlineStr">
        <is>
          <t>1+3 (verificar)</t>
        </is>
      </c>
      <c r="F234" t="n">
        <v>8</v>
      </c>
      <c r="I234" t="n">
        <v>10.5</v>
      </c>
      <c r="J234" t="n">
        <v>13.5</v>
      </c>
      <c r="K234" t="n">
        <v>17.5</v>
      </c>
      <c r="L234" t="inlineStr">
        <is>
          <t>Romek Argentina / Labo Los Alos</t>
        </is>
      </c>
    </row>
    <row r="235">
      <c r="A235" t="inlineStr">
        <is>
          <t>Kodak T-MAX 400</t>
        </is>
      </c>
      <c r="B235" t="n">
        <v>400</v>
      </c>
      <c r="C235" t="inlineStr">
        <is>
          <t>Romek PQ6</t>
        </is>
      </c>
      <c r="D235" t="inlineStr">
        <is>
          <t>1+3 (verificar)</t>
        </is>
      </c>
      <c r="F235" t="n">
        <v>8</v>
      </c>
      <c r="I235" t="n">
        <v>10.5</v>
      </c>
      <c r="J235" t="n">
        <v>13.5</v>
      </c>
      <c r="K235" t="n">
        <v>17.5</v>
      </c>
      <c r="L235" t="inlineStr">
        <is>
          <t>Romek Argentina / Labo Los Alos</t>
        </is>
      </c>
    </row>
    <row r="236">
      <c r="A236" t="inlineStr">
        <is>
          <t>Kodak Tri-X 400</t>
        </is>
      </c>
      <c r="B236" t="n">
        <v>400</v>
      </c>
      <c r="C236" t="inlineStr">
        <is>
          <t>Romek PQ6</t>
        </is>
      </c>
      <c r="D236" t="inlineStr">
        <is>
          <t>1+3 (verificar)</t>
        </is>
      </c>
      <c r="F236" t="n">
        <v>8</v>
      </c>
      <c r="I236" t="n">
        <v>10.5</v>
      </c>
      <c r="J236" t="n">
        <v>13.5</v>
      </c>
      <c r="K236" t="n">
        <v>17.5</v>
      </c>
      <c r="L236" t="inlineStr">
        <is>
          <t>Romek Argentina / Labo Los Alos</t>
        </is>
      </c>
    </row>
    <row r="237">
      <c r="A237" t="inlineStr">
        <is>
          <t>Lomo Berlin Kino 400</t>
        </is>
      </c>
      <c r="B237" t="n">
        <v>400</v>
      </c>
      <c r="C237" t="inlineStr">
        <is>
          <t>Romek PQ6</t>
        </is>
      </c>
      <c r="D237" t="inlineStr">
        <is>
          <t>1+3 (verificar)</t>
        </is>
      </c>
      <c r="F237" t="n">
        <v>8</v>
      </c>
      <c r="I237" t="n">
        <v>10.5</v>
      </c>
      <c r="J237" t="n">
        <v>13.5</v>
      </c>
      <c r="K237" t="n">
        <v>17.5</v>
      </c>
      <c r="L237" t="inlineStr">
        <is>
          <t>Romek Argentina / Labo Los Alos</t>
        </is>
      </c>
    </row>
    <row r="238">
      <c r="A238" t="inlineStr">
        <is>
          <t>Lomo Lady Grey 400</t>
        </is>
      </c>
      <c r="B238" t="n">
        <v>400</v>
      </c>
      <c r="C238" t="inlineStr">
        <is>
          <t>Romek PQ6</t>
        </is>
      </c>
      <c r="D238" t="inlineStr">
        <is>
          <t>1+3 (verificar)</t>
        </is>
      </c>
      <c r="F238" t="n">
        <v>8</v>
      </c>
      <c r="I238" t="n">
        <v>10.5</v>
      </c>
      <c r="J238" t="n">
        <v>13.5</v>
      </c>
      <c r="K238" t="n">
        <v>17.5</v>
      </c>
      <c r="L238" t="inlineStr">
        <is>
          <t>Romek Argentina / Labo Los Alos</t>
        </is>
      </c>
    </row>
    <row r="239">
      <c r="A239" t="inlineStr">
        <is>
          <t>Rollei RPX 400</t>
        </is>
      </c>
      <c r="B239" t="n">
        <v>400</v>
      </c>
      <c r="C239" t="inlineStr">
        <is>
          <t>Romek PQ6</t>
        </is>
      </c>
      <c r="D239" t="inlineStr">
        <is>
          <t>1+3 (verificar)</t>
        </is>
      </c>
      <c r="F239" t="n">
        <v>8</v>
      </c>
      <c r="I239" t="n">
        <v>10.5</v>
      </c>
      <c r="J239" t="n">
        <v>13.5</v>
      </c>
      <c r="K239" t="n">
        <v>17.5</v>
      </c>
      <c r="L239" t="inlineStr">
        <is>
          <t>Romek Argentina / Labo Los Alos</t>
        </is>
      </c>
    </row>
    <row r="240">
      <c r="A240" t="inlineStr">
        <is>
          <t>Adox CHS 100 II</t>
        </is>
      </c>
      <c r="B240" t="n">
        <v>100</v>
      </c>
      <c r="C240" t="inlineStr">
        <is>
          <t>Romek PQ7</t>
        </is>
      </c>
      <c r="D240" t="inlineStr">
        <is>
          <t>(verificar con Romek)</t>
        </is>
      </c>
      <c r="F240" t="n">
        <v>5</v>
      </c>
      <c r="I240" t="n">
        <v>6.5</v>
      </c>
      <c r="J240" t="n">
        <v>8.5</v>
      </c>
      <c r="K240" t="n">
        <v>11</v>
      </c>
      <c r="L240" t="inlineStr">
        <is>
          <t>Romek Argentina / Labo Los Alos</t>
        </is>
      </c>
    </row>
    <row r="241">
      <c r="A241" t="inlineStr">
        <is>
          <t>Adox Silvermax 100</t>
        </is>
      </c>
      <c r="B241" t="n">
        <v>100</v>
      </c>
      <c r="C241" t="inlineStr">
        <is>
          <t>Romek PQ7</t>
        </is>
      </c>
      <c r="D241" t="inlineStr">
        <is>
          <t>(verificar con Romek)</t>
        </is>
      </c>
      <c r="F241" t="n">
        <v>5</v>
      </c>
      <c r="I241" t="n">
        <v>6.5</v>
      </c>
      <c r="J241" t="n">
        <v>8.5</v>
      </c>
      <c r="K241" t="n">
        <v>11</v>
      </c>
      <c r="L241" t="inlineStr">
        <is>
          <t>Romek Argentina / Labo Los Alos</t>
        </is>
      </c>
    </row>
    <row r="242">
      <c r="A242" t="inlineStr">
        <is>
          <t>Fomapan 100</t>
        </is>
      </c>
      <c r="B242" t="n">
        <v>100</v>
      </c>
      <c r="C242" t="inlineStr">
        <is>
          <t>Romek PQ7</t>
        </is>
      </c>
      <c r="D242" t="inlineStr">
        <is>
          <t>(verificar con Romek)</t>
        </is>
      </c>
      <c r="F242" t="n">
        <v>5</v>
      </c>
      <c r="I242" t="n">
        <v>6.5</v>
      </c>
      <c r="J242" t="n">
        <v>8.5</v>
      </c>
      <c r="K242" t="n">
        <v>11</v>
      </c>
      <c r="L242" t="inlineStr">
        <is>
          <t>Romek Argentina / Labo Los Alos</t>
        </is>
      </c>
    </row>
    <row r="243">
      <c r="A243" t="inlineStr">
        <is>
          <t>Fuji Neopan Acros 100 II</t>
        </is>
      </c>
      <c r="B243" t="n">
        <v>100</v>
      </c>
      <c r="C243" t="inlineStr">
        <is>
          <t>Romek PQ7</t>
        </is>
      </c>
      <c r="D243" t="inlineStr">
        <is>
          <t>(verificar con Romek)</t>
        </is>
      </c>
      <c r="F243" t="n">
        <v>5</v>
      </c>
      <c r="I243" t="n">
        <v>6.5</v>
      </c>
      <c r="J243" t="n">
        <v>8.5</v>
      </c>
      <c r="K243" t="n">
        <v>11</v>
      </c>
      <c r="L243" t="inlineStr">
        <is>
          <t>Romek Argentina / Labo Los Alos</t>
        </is>
      </c>
    </row>
    <row r="244">
      <c r="A244" t="inlineStr">
        <is>
          <t>Ilford Delta 100</t>
        </is>
      </c>
      <c r="B244" t="n">
        <v>100</v>
      </c>
      <c r="C244" t="inlineStr">
        <is>
          <t>Romek PQ7</t>
        </is>
      </c>
      <c r="D244" t="inlineStr">
        <is>
          <t>(verificar con Romek)</t>
        </is>
      </c>
      <c r="F244" t="n">
        <v>5</v>
      </c>
      <c r="I244" t="n">
        <v>6.5</v>
      </c>
      <c r="J244" t="n">
        <v>8.5</v>
      </c>
      <c r="K244" t="n">
        <v>11</v>
      </c>
      <c r="L244" t="inlineStr">
        <is>
          <t>Romek Argentina / Labo Los Alos</t>
        </is>
      </c>
    </row>
    <row r="245">
      <c r="A245" t="inlineStr">
        <is>
          <t>Ilford Kentmere 100</t>
        </is>
      </c>
      <c r="B245" t="n">
        <v>100</v>
      </c>
      <c r="C245" t="inlineStr">
        <is>
          <t>Romek PQ7</t>
        </is>
      </c>
      <c r="D245" t="inlineStr">
        <is>
          <t>(verificar con Romek)</t>
        </is>
      </c>
      <c r="F245" t="n">
        <v>5</v>
      </c>
      <c r="I245" t="n">
        <v>6.5</v>
      </c>
      <c r="J245" t="n">
        <v>8.5</v>
      </c>
      <c r="K245" t="n">
        <v>11</v>
      </c>
      <c r="L245" t="inlineStr">
        <is>
          <t>Romek Argentina / Labo Los Alos</t>
        </is>
      </c>
    </row>
    <row r="246">
      <c r="A246" t="inlineStr">
        <is>
          <t>Kodak T-MAX 100</t>
        </is>
      </c>
      <c r="B246" t="n">
        <v>100</v>
      </c>
      <c r="C246" t="inlineStr">
        <is>
          <t>Romek PQ7</t>
        </is>
      </c>
      <c r="D246" t="inlineStr">
        <is>
          <t>(verificar con Romek)</t>
        </is>
      </c>
      <c r="F246" t="n">
        <v>5</v>
      </c>
      <c r="I246" t="n">
        <v>6.5</v>
      </c>
      <c r="J246" t="n">
        <v>8.5</v>
      </c>
      <c r="K246" t="n">
        <v>11</v>
      </c>
      <c r="L246" t="inlineStr">
        <is>
          <t>Romek Argentina / Labo Los Alos</t>
        </is>
      </c>
    </row>
    <row r="247">
      <c r="A247" t="inlineStr">
        <is>
          <t>Kosmo Foto Mono 100</t>
        </is>
      </c>
      <c r="B247" t="n">
        <v>100</v>
      </c>
      <c r="C247" t="inlineStr">
        <is>
          <t>Romek PQ7</t>
        </is>
      </c>
      <c r="D247" t="inlineStr">
        <is>
          <t>(verificar con Romek)</t>
        </is>
      </c>
      <c r="F247" t="n">
        <v>5</v>
      </c>
      <c r="I247" t="n">
        <v>6.5</v>
      </c>
      <c r="J247" t="n">
        <v>8.5</v>
      </c>
      <c r="K247" t="n">
        <v>11</v>
      </c>
      <c r="L247" t="inlineStr">
        <is>
          <t>Romek Argentina / Labo Los Alos</t>
        </is>
      </c>
    </row>
    <row r="248">
      <c r="A248" t="inlineStr">
        <is>
          <t>Lomo Earl Grey 100</t>
        </is>
      </c>
      <c r="B248" t="n">
        <v>100</v>
      </c>
      <c r="C248" t="inlineStr">
        <is>
          <t>Romek PQ7</t>
        </is>
      </c>
      <c r="D248" t="inlineStr">
        <is>
          <t>(verificar con Romek)</t>
        </is>
      </c>
      <c r="F248" t="n">
        <v>5</v>
      </c>
      <c r="I248" t="n">
        <v>6.5</v>
      </c>
      <c r="J248" t="n">
        <v>8.5</v>
      </c>
      <c r="K248" t="n">
        <v>11</v>
      </c>
      <c r="L248" t="inlineStr">
        <is>
          <t>Romek Argentina / Labo Los Alos</t>
        </is>
      </c>
    </row>
    <row r="249">
      <c r="A249" t="inlineStr">
        <is>
          <t>Lomo Potsdam Kino 100</t>
        </is>
      </c>
      <c r="B249" t="n">
        <v>100</v>
      </c>
      <c r="C249" t="inlineStr">
        <is>
          <t>Romek PQ7</t>
        </is>
      </c>
      <c r="D249" t="inlineStr">
        <is>
          <t>(verificar con Romek)</t>
        </is>
      </c>
      <c r="F249" t="n">
        <v>5</v>
      </c>
      <c r="I249" t="n">
        <v>6.5</v>
      </c>
      <c r="J249" t="n">
        <v>8.5</v>
      </c>
      <c r="K249" t="n">
        <v>11</v>
      </c>
      <c r="L249" t="inlineStr">
        <is>
          <t>Romek Argentina / Labo Los Alos</t>
        </is>
      </c>
    </row>
    <row r="250">
      <c r="A250" t="inlineStr">
        <is>
          <t>Rollei RPX 100</t>
        </is>
      </c>
      <c r="B250" t="n">
        <v>100</v>
      </c>
      <c r="C250" t="inlineStr">
        <is>
          <t>Romek PQ7</t>
        </is>
      </c>
      <c r="D250" t="inlineStr">
        <is>
          <t>(verificar con Romek)</t>
        </is>
      </c>
      <c r="F250" t="n">
        <v>5</v>
      </c>
      <c r="I250" t="n">
        <v>6.5</v>
      </c>
      <c r="J250" t="n">
        <v>8.5</v>
      </c>
      <c r="K250" t="n">
        <v>11</v>
      </c>
      <c r="L250" t="inlineStr">
        <is>
          <t>Romek Argentina / Labo Los Alos</t>
        </is>
      </c>
    </row>
    <row r="251">
      <c r="A251" t="inlineStr">
        <is>
          <t>Fomapan 200</t>
        </is>
      </c>
      <c r="B251" t="n">
        <v>200</v>
      </c>
      <c r="C251" t="inlineStr">
        <is>
          <t>Romek PQ7</t>
        </is>
      </c>
      <c r="D251" t="inlineStr">
        <is>
          <t>(verificar con Romek)</t>
        </is>
      </c>
      <c r="F251" t="n">
        <v>6</v>
      </c>
      <c r="I251" t="n">
        <v>8</v>
      </c>
      <c r="J251" t="n">
        <v>10.5</v>
      </c>
      <c r="K251" t="n">
        <v>13.5</v>
      </c>
      <c r="L251" t="inlineStr">
        <is>
          <t>Romek Argentina / Labo Los Alos</t>
        </is>
      </c>
    </row>
    <row r="252">
      <c r="A252" t="inlineStr">
        <is>
          <t>Ilford SFX 200</t>
        </is>
      </c>
      <c r="B252" t="n">
        <v>200</v>
      </c>
      <c r="C252" t="inlineStr">
        <is>
          <t>Romek PQ7</t>
        </is>
      </c>
      <c r="D252" t="inlineStr">
        <is>
          <t>(verificar con Romek)</t>
        </is>
      </c>
      <c r="F252" t="n">
        <v>6</v>
      </c>
      <c r="I252" t="n">
        <v>8</v>
      </c>
      <c r="J252" t="n">
        <v>10.5</v>
      </c>
      <c r="K252" t="n">
        <v>13.5</v>
      </c>
      <c r="L252" t="inlineStr">
        <is>
          <t>Romek Argentina / Labo Los Alos</t>
        </is>
      </c>
    </row>
    <row r="253">
      <c r="A253" t="inlineStr">
        <is>
          <t>Bergger Pancro 400</t>
        </is>
      </c>
      <c r="B253" t="n">
        <v>400</v>
      </c>
      <c r="C253" t="inlineStr">
        <is>
          <t>Romek PQ7</t>
        </is>
      </c>
      <c r="D253" t="inlineStr">
        <is>
          <t>(verificar con Romek)</t>
        </is>
      </c>
      <c r="F253" t="n">
        <v>7.5</v>
      </c>
      <c r="I253" t="n">
        <v>10</v>
      </c>
      <c r="J253" t="n">
        <v>13</v>
      </c>
      <c r="K253" t="n">
        <v>17</v>
      </c>
      <c r="L253" t="inlineStr">
        <is>
          <t>Romek Argentina / Labo Los Alos</t>
        </is>
      </c>
    </row>
    <row r="254">
      <c r="A254" t="inlineStr">
        <is>
          <t>Fomapan 400</t>
        </is>
      </c>
      <c r="B254" t="n">
        <v>400</v>
      </c>
      <c r="C254" t="inlineStr">
        <is>
          <t>Romek PQ7</t>
        </is>
      </c>
      <c r="D254" t="inlineStr">
        <is>
          <t>(verificar con Romek)</t>
        </is>
      </c>
      <c r="F254" t="n">
        <v>7.5</v>
      </c>
      <c r="I254" t="n">
        <v>10</v>
      </c>
      <c r="J254" t="n">
        <v>13</v>
      </c>
      <c r="K254" t="n">
        <v>17</v>
      </c>
      <c r="L254" t="inlineStr">
        <is>
          <t>Romek Argentina / Labo Los Alos</t>
        </is>
      </c>
    </row>
    <row r="255">
      <c r="A255" t="inlineStr">
        <is>
          <t>Ilford Delta 400</t>
        </is>
      </c>
      <c r="B255" t="n">
        <v>400</v>
      </c>
      <c r="C255" t="inlineStr">
        <is>
          <t>Romek PQ7</t>
        </is>
      </c>
      <c r="D255" t="inlineStr">
        <is>
          <t>(verificar con Romek)</t>
        </is>
      </c>
      <c r="F255" t="n">
        <v>7.5</v>
      </c>
      <c r="I255" t="n">
        <v>10</v>
      </c>
      <c r="J255" t="n">
        <v>13</v>
      </c>
      <c r="K255" t="n">
        <v>17</v>
      </c>
      <c r="L255" t="inlineStr">
        <is>
          <t>Romek Argentina / Labo Los Alos</t>
        </is>
      </c>
    </row>
    <row r="256">
      <c r="A256" t="inlineStr">
        <is>
          <t>Ilford HP5 Plus</t>
        </is>
      </c>
      <c r="B256" t="n">
        <v>400</v>
      </c>
      <c r="C256" t="inlineStr">
        <is>
          <t>Romek PQ7</t>
        </is>
      </c>
      <c r="D256" t="inlineStr">
        <is>
          <t>(verificar con Romek)</t>
        </is>
      </c>
      <c r="F256" t="n">
        <v>7.5</v>
      </c>
      <c r="I256" t="n">
        <v>10</v>
      </c>
      <c r="J256" t="n">
        <v>13</v>
      </c>
      <c r="K256" t="n">
        <v>17</v>
      </c>
      <c r="L256" t="inlineStr">
        <is>
          <t>Romek Argentina / Labo Los Alos</t>
        </is>
      </c>
    </row>
    <row r="257">
      <c r="A257" t="inlineStr">
        <is>
          <t>Ilford Kentmere 400</t>
        </is>
      </c>
      <c r="B257" t="n">
        <v>400</v>
      </c>
      <c r="C257" t="inlineStr">
        <is>
          <t>Romek PQ7</t>
        </is>
      </c>
      <c r="D257" t="inlineStr">
        <is>
          <t>(verificar con Romek)</t>
        </is>
      </c>
      <c r="F257" t="n">
        <v>7.5</v>
      </c>
      <c r="I257" t="n">
        <v>10</v>
      </c>
      <c r="J257" t="n">
        <v>13</v>
      </c>
      <c r="K257" t="n">
        <v>17</v>
      </c>
      <c r="L257" t="inlineStr">
        <is>
          <t>Romek Argentina / Labo Los Alos</t>
        </is>
      </c>
    </row>
    <row r="258">
      <c r="A258" t="inlineStr">
        <is>
          <t>JCH Streetpan 400</t>
        </is>
      </c>
      <c r="B258" t="n">
        <v>400</v>
      </c>
      <c r="C258" t="inlineStr">
        <is>
          <t>Romek PQ7</t>
        </is>
      </c>
      <c r="D258" t="inlineStr">
        <is>
          <t>(verificar con Romek)</t>
        </is>
      </c>
      <c r="F258" t="n">
        <v>7.5</v>
      </c>
      <c r="I258" t="n">
        <v>10</v>
      </c>
      <c r="J258" t="n">
        <v>13</v>
      </c>
      <c r="K258" t="n">
        <v>17</v>
      </c>
      <c r="L258" t="inlineStr">
        <is>
          <t>Romek Argentina / Labo Los Alos</t>
        </is>
      </c>
    </row>
    <row r="259">
      <c r="A259" t="inlineStr">
        <is>
          <t>Kodak T-MAX 400</t>
        </is>
      </c>
      <c r="B259" t="n">
        <v>400</v>
      </c>
      <c r="C259" t="inlineStr">
        <is>
          <t>Romek PQ7</t>
        </is>
      </c>
      <c r="D259" t="inlineStr">
        <is>
          <t>(verificar con Romek)</t>
        </is>
      </c>
      <c r="F259" t="n">
        <v>7.5</v>
      </c>
      <c r="I259" t="n">
        <v>10</v>
      </c>
      <c r="J259" t="n">
        <v>13</v>
      </c>
      <c r="K259" t="n">
        <v>17</v>
      </c>
      <c r="L259" t="inlineStr">
        <is>
          <t>Romek Argentina / Labo Los Alos</t>
        </is>
      </c>
    </row>
    <row r="260">
      <c r="A260" t="inlineStr">
        <is>
          <t>Kodak Tri-X 400</t>
        </is>
      </c>
      <c r="B260" t="n">
        <v>400</v>
      </c>
      <c r="C260" t="inlineStr">
        <is>
          <t>Romek PQ7</t>
        </is>
      </c>
      <c r="D260" t="inlineStr">
        <is>
          <t>(verificar con Romek)</t>
        </is>
      </c>
      <c r="F260" t="n">
        <v>7.5</v>
      </c>
      <c r="I260" t="n">
        <v>10</v>
      </c>
      <c r="J260" t="n">
        <v>13</v>
      </c>
      <c r="K260" t="n">
        <v>17</v>
      </c>
      <c r="L260" t="inlineStr">
        <is>
          <t>Romek Argentina / Labo Los Alos</t>
        </is>
      </c>
    </row>
    <row r="261">
      <c r="A261" t="inlineStr">
        <is>
          <t>Lomo Berlin Kino 400</t>
        </is>
      </c>
      <c r="B261" t="n">
        <v>400</v>
      </c>
      <c r="C261" t="inlineStr">
        <is>
          <t>Romek PQ7</t>
        </is>
      </c>
      <c r="D261" t="inlineStr">
        <is>
          <t>(verificar con Romek)</t>
        </is>
      </c>
      <c r="F261" t="n">
        <v>7.5</v>
      </c>
      <c r="I261" t="n">
        <v>10</v>
      </c>
      <c r="J261" t="n">
        <v>13</v>
      </c>
      <c r="K261" t="n">
        <v>17</v>
      </c>
      <c r="L261" t="inlineStr">
        <is>
          <t>Romek Argentina / Labo Los Alos</t>
        </is>
      </c>
    </row>
    <row r="262">
      <c r="A262" t="inlineStr">
        <is>
          <t>Lomo Lady Grey 400</t>
        </is>
      </c>
      <c r="B262" t="n">
        <v>400</v>
      </c>
      <c r="C262" t="inlineStr">
        <is>
          <t>Romek PQ7</t>
        </is>
      </c>
      <c r="D262" t="inlineStr">
        <is>
          <t>(verificar con Romek)</t>
        </is>
      </c>
      <c r="F262" t="n">
        <v>7.5</v>
      </c>
      <c r="I262" t="n">
        <v>10</v>
      </c>
      <c r="J262" t="n">
        <v>13</v>
      </c>
      <c r="K262" t="n">
        <v>17</v>
      </c>
      <c r="L262" t="inlineStr">
        <is>
          <t>Romek Argentina / Labo Los Alos</t>
        </is>
      </c>
    </row>
    <row r="263">
      <c r="A263" t="inlineStr">
        <is>
          <t>Rollei RPX 400</t>
        </is>
      </c>
      <c r="B263" t="n">
        <v>400</v>
      </c>
      <c r="C263" t="inlineStr">
        <is>
          <t>Romek PQ7</t>
        </is>
      </c>
      <c r="D263" t="inlineStr">
        <is>
          <t>(verificar con Romek)</t>
        </is>
      </c>
      <c r="F263" t="n">
        <v>7.5</v>
      </c>
      <c r="I263" t="n">
        <v>10</v>
      </c>
      <c r="J263" t="n">
        <v>13</v>
      </c>
      <c r="K263" t="n">
        <v>17</v>
      </c>
      <c r="L263" t="inlineStr">
        <is>
          <t>Romek Argentina / Labo Los Alos</t>
        </is>
      </c>
    </row>
    <row r="264">
      <c r="A264" t="inlineStr">
        <is>
          <t>Ilford Delta 3200</t>
        </is>
      </c>
      <c r="B264" t="n">
        <v>3200</v>
      </c>
      <c r="C264" t="inlineStr">
        <is>
          <t>Romek PQ7</t>
        </is>
      </c>
      <c r="D264" t="inlineStr">
        <is>
          <t>(verificar con Romek)</t>
        </is>
      </c>
      <c r="F264" t="n">
        <v>17</v>
      </c>
      <c r="I264" t="n">
        <v>22</v>
      </c>
      <c r="J264" t="n">
        <v>28.5</v>
      </c>
      <c r="K264" t="n">
        <v>37</v>
      </c>
      <c r="L264" t="inlineStr">
        <is>
          <t>Romek Argentina / Labo Los Alos — calc. ×1.30 desde ISO 400</t>
        </is>
      </c>
    </row>
    <row r="265">
      <c r="A265" t="inlineStr">
        <is>
          <t>Bergger Pancro 400</t>
        </is>
      </c>
      <c r="B265" t="n">
        <v>400</v>
      </c>
      <c r="C265" t="inlineStr">
        <is>
          <t>Romek PQ9</t>
        </is>
      </c>
      <c r="D265" t="inlineStr">
        <is>
          <t>1+3 ó 1+6 (verificar)</t>
        </is>
      </c>
      <c r="F265" t="n">
        <v>6.5</v>
      </c>
      <c r="I265" t="n">
        <v>8</v>
      </c>
      <c r="J265" t="n">
        <v>10</v>
      </c>
      <c r="K265" t="n">
        <v>12.5</v>
      </c>
      <c r="L265" t="inlineStr">
        <is>
          <t>Romek Argentina / Labo Los Alos</t>
        </is>
      </c>
    </row>
    <row r="266">
      <c r="A266" t="inlineStr">
        <is>
          <t>Fomapan 400</t>
        </is>
      </c>
      <c r="B266" t="n">
        <v>400</v>
      </c>
      <c r="C266" t="inlineStr">
        <is>
          <t>Romek PQ9</t>
        </is>
      </c>
      <c r="D266" t="inlineStr">
        <is>
          <t>1+3 ó 1+6 (verificar)</t>
        </is>
      </c>
      <c r="F266" t="n">
        <v>6.5</v>
      </c>
      <c r="I266" t="n">
        <v>8</v>
      </c>
      <c r="J266" t="n">
        <v>10</v>
      </c>
      <c r="K266" t="n">
        <v>12.5</v>
      </c>
      <c r="L266" t="inlineStr">
        <is>
          <t>Romek Argentina / Labo Los Alos</t>
        </is>
      </c>
    </row>
    <row r="267">
      <c r="A267" t="inlineStr">
        <is>
          <t>Ilford Delta 400</t>
        </is>
      </c>
      <c r="B267" t="n">
        <v>400</v>
      </c>
      <c r="C267" t="inlineStr">
        <is>
          <t>Romek PQ9</t>
        </is>
      </c>
      <c r="D267" t="inlineStr">
        <is>
          <t>1+3 ó 1+6 (verificar)</t>
        </is>
      </c>
      <c r="F267" t="n">
        <v>6.5</v>
      </c>
      <c r="I267" t="n">
        <v>8</v>
      </c>
      <c r="J267" t="n">
        <v>10</v>
      </c>
      <c r="K267" t="n">
        <v>12.5</v>
      </c>
      <c r="L267" t="inlineStr">
        <is>
          <t>Romek Argentina / Labo Los Alos</t>
        </is>
      </c>
    </row>
    <row r="268">
      <c r="A268" t="inlineStr">
        <is>
          <t>Ilford HP5 Plus</t>
        </is>
      </c>
      <c r="B268" t="n">
        <v>400</v>
      </c>
      <c r="C268" t="inlineStr">
        <is>
          <t>Romek PQ9</t>
        </is>
      </c>
      <c r="D268" t="inlineStr">
        <is>
          <t>1+3 ó 1+6 (verificar)</t>
        </is>
      </c>
      <c r="F268" t="n">
        <v>6.5</v>
      </c>
      <c r="I268" t="n">
        <v>8</v>
      </c>
      <c r="J268" t="n">
        <v>10</v>
      </c>
      <c r="K268" t="n">
        <v>12.5</v>
      </c>
      <c r="L268" t="inlineStr">
        <is>
          <t>Romek Argentina / Labo Los Alos</t>
        </is>
      </c>
    </row>
    <row r="269">
      <c r="A269" t="inlineStr">
        <is>
          <t>Ilford Kentmere 400</t>
        </is>
      </c>
      <c r="B269" t="n">
        <v>400</v>
      </c>
      <c r="C269" t="inlineStr">
        <is>
          <t>Romek PQ9</t>
        </is>
      </c>
      <c r="D269" t="inlineStr">
        <is>
          <t>1+3 ó 1+6 (verificar)</t>
        </is>
      </c>
      <c r="F269" t="n">
        <v>6.5</v>
      </c>
      <c r="I269" t="n">
        <v>8</v>
      </c>
      <c r="J269" t="n">
        <v>10</v>
      </c>
      <c r="K269" t="n">
        <v>12.5</v>
      </c>
      <c r="L269" t="inlineStr">
        <is>
          <t>Romek Argentina / Labo Los Alos</t>
        </is>
      </c>
    </row>
    <row r="270">
      <c r="A270" t="inlineStr">
        <is>
          <t>JCH Streetpan 400</t>
        </is>
      </c>
      <c r="B270" t="n">
        <v>400</v>
      </c>
      <c r="C270" t="inlineStr">
        <is>
          <t>Romek PQ9</t>
        </is>
      </c>
      <c r="D270" t="inlineStr">
        <is>
          <t>1+3 ó 1+6 (verificar)</t>
        </is>
      </c>
      <c r="F270" t="n">
        <v>6.5</v>
      </c>
      <c r="I270" t="n">
        <v>8</v>
      </c>
      <c r="J270" t="n">
        <v>10</v>
      </c>
      <c r="K270" t="n">
        <v>12.5</v>
      </c>
      <c r="L270" t="inlineStr">
        <is>
          <t>Romek Argentina / Labo Los Alos</t>
        </is>
      </c>
    </row>
    <row r="271">
      <c r="A271" t="inlineStr">
        <is>
          <t>Kodak T-MAX 400</t>
        </is>
      </c>
      <c r="B271" t="n">
        <v>400</v>
      </c>
      <c r="C271" t="inlineStr">
        <is>
          <t>Romek PQ9</t>
        </is>
      </c>
      <c r="D271" t="inlineStr">
        <is>
          <t>1+3 ó 1+6 (verificar)</t>
        </is>
      </c>
      <c r="F271" t="n">
        <v>6.5</v>
      </c>
      <c r="I271" t="n">
        <v>8</v>
      </c>
      <c r="J271" t="n">
        <v>10</v>
      </c>
      <c r="K271" t="n">
        <v>12.5</v>
      </c>
      <c r="L271" t="inlineStr">
        <is>
          <t>Romek Argentina / Labo Los Alos</t>
        </is>
      </c>
    </row>
    <row r="272">
      <c r="A272" t="inlineStr">
        <is>
          <t>Kodak Tri-X 400</t>
        </is>
      </c>
      <c r="B272" t="n">
        <v>400</v>
      </c>
      <c r="C272" t="inlineStr">
        <is>
          <t>Romek PQ9</t>
        </is>
      </c>
      <c r="D272" t="inlineStr">
        <is>
          <t>1+3 ó 1+6 (verificar)</t>
        </is>
      </c>
      <c r="F272" t="n">
        <v>6.5</v>
      </c>
      <c r="I272" t="n">
        <v>8</v>
      </c>
      <c r="J272" t="n">
        <v>10</v>
      </c>
      <c r="K272" t="n">
        <v>12.5</v>
      </c>
      <c r="L272" t="inlineStr">
        <is>
          <t>Romek Argentina / Labo Los Alos</t>
        </is>
      </c>
    </row>
    <row r="273">
      <c r="A273" t="inlineStr">
        <is>
          <t>Lomo Berlin Kino 400</t>
        </is>
      </c>
      <c r="B273" t="n">
        <v>400</v>
      </c>
      <c r="C273" t="inlineStr">
        <is>
          <t>Romek PQ9</t>
        </is>
      </c>
      <c r="D273" t="inlineStr">
        <is>
          <t>1+3 ó 1+6 (verificar)</t>
        </is>
      </c>
      <c r="F273" t="n">
        <v>6.5</v>
      </c>
      <c r="I273" t="n">
        <v>8</v>
      </c>
      <c r="J273" t="n">
        <v>10</v>
      </c>
      <c r="K273" t="n">
        <v>12.5</v>
      </c>
      <c r="L273" t="inlineStr">
        <is>
          <t>Romek Argentina / Labo Los Alos</t>
        </is>
      </c>
    </row>
    <row r="274">
      <c r="A274" t="inlineStr">
        <is>
          <t>Lomo Lady Grey 400</t>
        </is>
      </c>
      <c r="B274" t="n">
        <v>400</v>
      </c>
      <c r="C274" t="inlineStr">
        <is>
          <t>Romek PQ9</t>
        </is>
      </c>
      <c r="D274" t="inlineStr">
        <is>
          <t>1+3 ó 1+6 (verificar)</t>
        </is>
      </c>
      <c r="F274" t="n">
        <v>6.5</v>
      </c>
      <c r="I274" t="n">
        <v>8</v>
      </c>
      <c r="J274" t="n">
        <v>10</v>
      </c>
      <c r="K274" t="n">
        <v>12.5</v>
      </c>
      <c r="L274" t="inlineStr">
        <is>
          <t>Romek Argentina / Labo Los Alos</t>
        </is>
      </c>
    </row>
    <row r="275">
      <c r="A275" t="inlineStr">
        <is>
          <t>Rollei RPX 400</t>
        </is>
      </c>
      <c r="B275" t="n">
        <v>400</v>
      </c>
      <c r="C275" t="inlineStr">
        <is>
          <t>Romek PQ9</t>
        </is>
      </c>
      <c r="D275" t="inlineStr">
        <is>
          <t>1+3 ó 1+6 (verificar)</t>
        </is>
      </c>
      <c r="F275" t="n">
        <v>6.5</v>
      </c>
      <c r="I275" t="n">
        <v>8</v>
      </c>
      <c r="J275" t="n">
        <v>10</v>
      </c>
      <c r="K275" t="n">
        <v>12.5</v>
      </c>
      <c r="L275" t="inlineStr">
        <is>
          <t>Romek Argentina / Labo Los Alos</t>
        </is>
      </c>
    </row>
    <row r="276">
      <c r="A276" t="inlineStr">
        <is>
          <t>Ilford HP5 Plus</t>
        </is>
      </c>
      <c r="B276" t="n">
        <v>400</v>
      </c>
      <c r="C276" t="inlineStr">
        <is>
          <t>Romek R09</t>
        </is>
      </c>
      <c r="D276" t="inlineStr">
        <is>
          <t>1+25</t>
        </is>
      </c>
      <c r="F276" t="n">
        <v>9</v>
      </c>
      <c r="I276" t="n">
        <v>12</v>
      </c>
      <c r="J276" t="n">
        <v>18</v>
      </c>
      <c r="K276" t="n">
        <v>23.5</v>
      </c>
      <c r="L276" t="inlineStr">
        <is>
          <t>Equivalente Rodinal — Ilford chart</t>
        </is>
      </c>
    </row>
    <row r="277">
      <c r="A277" t="inlineStr">
        <is>
          <t>Ilford HP5 Plus</t>
        </is>
      </c>
      <c r="B277" t="n">
        <v>400</v>
      </c>
      <c r="C277" t="inlineStr">
        <is>
          <t>Romek R09</t>
        </is>
      </c>
      <c r="D277" t="inlineStr">
        <is>
          <t>1+50</t>
        </is>
      </c>
      <c r="F277" t="n">
        <v>15</v>
      </c>
      <c r="I277" t="n">
        <v>19.5</v>
      </c>
      <c r="J277" t="n">
        <v>25.5</v>
      </c>
      <c r="K277" t="n">
        <v>33</v>
      </c>
      <c r="L277" t="inlineStr">
        <is>
          <t>Equivalente Rodinal — Ilford chart</t>
        </is>
      </c>
    </row>
    <row r="278">
      <c r="A278" t="inlineStr">
        <is>
          <t>Ilford FP4 Plus</t>
        </is>
      </c>
      <c r="B278" t="n">
        <v>125</v>
      </c>
      <c r="C278" t="inlineStr">
        <is>
          <t>Romek R09</t>
        </is>
      </c>
      <c r="D278" t="inlineStr">
        <is>
          <t>1+25</t>
        </is>
      </c>
      <c r="F278" t="n">
        <v>6</v>
      </c>
      <c r="I278" t="n">
        <v>8</v>
      </c>
      <c r="J278" t="n">
        <v>10.5</v>
      </c>
      <c r="K278" t="n">
        <v>13.5</v>
      </c>
      <c r="L278" t="inlineStr">
        <is>
          <t>Equivalente Rodinal — Ilford chart</t>
        </is>
      </c>
    </row>
    <row r="279">
      <c r="A279" t="inlineStr">
        <is>
          <t>Ilford FP4 Plus</t>
        </is>
      </c>
      <c r="B279" t="n">
        <v>125</v>
      </c>
      <c r="C279" t="inlineStr">
        <is>
          <t>Romek R09</t>
        </is>
      </c>
      <c r="D279" t="inlineStr">
        <is>
          <t>1+50</t>
        </is>
      </c>
      <c r="F279" t="n">
        <v>11</v>
      </c>
      <c r="I279" t="n">
        <v>14.5</v>
      </c>
      <c r="J279" t="n">
        <v>19</v>
      </c>
      <c r="K279" t="n">
        <v>24.5</v>
      </c>
      <c r="L279" t="inlineStr">
        <is>
          <t>Equivalente Rodinal — Ilford chart</t>
        </is>
      </c>
    </row>
    <row r="280">
      <c r="A280" t="inlineStr">
        <is>
          <t>Ilford Delta 100</t>
        </is>
      </c>
      <c r="B280" t="n">
        <v>100</v>
      </c>
      <c r="C280" t="inlineStr">
        <is>
          <t>Romek R09</t>
        </is>
      </c>
      <c r="D280" t="inlineStr">
        <is>
          <t>1+25</t>
        </is>
      </c>
      <c r="F280" t="n">
        <v>7</v>
      </c>
      <c r="I280" t="n">
        <v>9</v>
      </c>
      <c r="J280" t="n">
        <v>11</v>
      </c>
      <c r="K280" t="n">
        <v>14</v>
      </c>
      <c r="L280" t="inlineStr">
        <is>
          <t>Equivalente Rodinal — Ilford chart</t>
        </is>
      </c>
    </row>
    <row r="281">
      <c r="A281" t="inlineStr">
        <is>
          <t>Ilford Delta 100</t>
        </is>
      </c>
      <c r="B281" t="n">
        <v>100</v>
      </c>
      <c r="C281" t="inlineStr">
        <is>
          <t>Romek R09</t>
        </is>
      </c>
      <c r="D281" t="inlineStr">
        <is>
          <t>1+50</t>
        </is>
      </c>
      <c r="F281" t="n">
        <v>10</v>
      </c>
      <c r="I281" t="n">
        <v>12.5</v>
      </c>
      <c r="J281" t="n">
        <v>15.5</v>
      </c>
      <c r="K281" t="n">
        <v>19.5</v>
      </c>
      <c r="L281" t="inlineStr">
        <is>
          <t>Equivalente Rodinal — Ilford chart</t>
        </is>
      </c>
    </row>
    <row r="282">
      <c r="A282" t="inlineStr">
        <is>
          <t>Ilford Delta 400</t>
        </is>
      </c>
      <c r="B282" t="n">
        <v>400</v>
      </c>
      <c r="C282" t="inlineStr">
        <is>
          <t>Romek R09</t>
        </is>
      </c>
      <c r="D282" t="inlineStr">
        <is>
          <t>1+25</t>
        </is>
      </c>
      <c r="F282" t="n">
        <v>8</v>
      </c>
      <c r="I282" t="n">
        <v>11</v>
      </c>
      <c r="J282" t="n">
        <v>15</v>
      </c>
      <c r="K282" t="n">
        <v>19</v>
      </c>
      <c r="L282" t="inlineStr">
        <is>
          <t>Equivalente Rodinal — Ilford chart</t>
        </is>
      </c>
    </row>
    <row r="283">
      <c r="A283" t="inlineStr">
        <is>
          <t>Ilford Pan F Plus</t>
        </is>
      </c>
      <c r="B283" t="n">
        <v>50</v>
      </c>
      <c r="C283" t="inlineStr">
        <is>
          <t>Romek R09</t>
        </is>
      </c>
      <c r="D283" t="inlineStr">
        <is>
          <t>1+25</t>
        </is>
      </c>
      <c r="F283" t="n">
        <v>4</v>
      </c>
      <c r="I283" t="n">
        <v>5</v>
      </c>
      <c r="J283" t="n">
        <v>6.5</v>
      </c>
      <c r="K283" t="n">
        <v>8.5</v>
      </c>
      <c r="L283" t="inlineStr">
        <is>
          <t>Equivalente Rodinal — Ilford chart</t>
        </is>
      </c>
    </row>
    <row r="284">
      <c r="A284" t="inlineStr">
        <is>
          <t>Ilford Pan F Plus</t>
        </is>
      </c>
      <c r="B284" t="n">
        <v>50</v>
      </c>
      <c r="C284" t="inlineStr">
        <is>
          <t>Romek R09</t>
        </is>
      </c>
      <c r="D284" t="inlineStr">
        <is>
          <t>1+50</t>
        </is>
      </c>
      <c r="F284" t="n">
        <v>6</v>
      </c>
      <c r="I284" t="n">
        <v>8</v>
      </c>
      <c r="J284" t="n">
        <v>10.5</v>
      </c>
      <c r="K284" t="n">
        <v>13.5</v>
      </c>
      <c r="L284" t="inlineStr">
        <is>
          <t>Equivalente Rodinal — Ilford chart</t>
        </is>
      </c>
    </row>
    <row r="285">
      <c r="A285" t="inlineStr">
        <is>
          <t>Ilford SFX 200</t>
        </is>
      </c>
      <c r="B285" t="n">
        <v>200</v>
      </c>
      <c r="C285" t="inlineStr">
        <is>
          <t>Romek R09</t>
        </is>
      </c>
      <c r="D285" t="inlineStr">
        <is>
          <t>1+25</t>
        </is>
      </c>
      <c r="F285" t="n">
        <v>9</v>
      </c>
      <c r="I285" t="n">
        <v>13</v>
      </c>
      <c r="J285" t="n">
        <v>18.5</v>
      </c>
      <c r="K285" t="n">
        <v>24</v>
      </c>
      <c r="L285" t="inlineStr">
        <is>
          <t>Equivalente Rodinal — Ilford chart</t>
        </is>
      </c>
    </row>
    <row r="286">
      <c r="A286" t="inlineStr">
        <is>
          <t>Ilford Kentmere 100</t>
        </is>
      </c>
      <c r="B286" t="n">
        <v>100</v>
      </c>
      <c r="C286" t="inlineStr">
        <is>
          <t>Romek R09</t>
        </is>
      </c>
      <c r="D286" t="inlineStr">
        <is>
          <t>1+25</t>
        </is>
      </c>
      <c r="F286" t="n">
        <v>8</v>
      </c>
      <c r="I286" t="n">
        <v>10.5</v>
      </c>
      <c r="J286" t="n">
        <v>13.5</v>
      </c>
      <c r="K286" t="n">
        <v>17.5</v>
      </c>
      <c r="L286" t="inlineStr">
        <is>
          <t>Equivalente Rodinal — Ilford chart</t>
        </is>
      </c>
    </row>
    <row r="287">
      <c r="A287" t="inlineStr">
        <is>
          <t>Ilford Kentmere 400</t>
        </is>
      </c>
      <c r="B287" t="n">
        <v>400</v>
      </c>
      <c r="C287" t="inlineStr">
        <is>
          <t>Romek R09</t>
        </is>
      </c>
      <c r="D287" t="inlineStr">
        <is>
          <t>1+25</t>
        </is>
      </c>
      <c r="F287" t="n">
        <v>11</v>
      </c>
      <c r="I287" t="n">
        <v>15</v>
      </c>
      <c r="J287" t="n">
        <v>20</v>
      </c>
      <c r="K287" t="n">
        <v>26</v>
      </c>
      <c r="L287" t="inlineStr">
        <is>
          <t>Equivalente Rodinal — Ilford chart</t>
        </is>
      </c>
    </row>
    <row r="288">
      <c r="A288" t="inlineStr">
        <is>
          <t>Fomapan 100</t>
        </is>
      </c>
      <c r="B288" t="n">
        <v>100</v>
      </c>
      <c r="C288" t="inlineStr">
        <is>
          <t>Romek R09</t>
        </is>
      </c>
      <c r="D288" t="inlineStr">
        <is>
          <t>1+25</t>
        </is>
      </c>
      <c r="F288" t="n">
        <v>5</v>
      </c>
      <c r="I288" t="n">
        <v>6.5</v>
      </c>
      <c r="J288" t="n">
        <v>8.5</v>
      </c>
      <c r="K288" t="n">
        <v>11</v>
      </c>
      <c r="L288" t="inlineStr">
        <is>
          <t>Equivalente Rodinal — Foma</t>
        </is>
      </c>
    </row>
    <row r="289">
      <c r="A289" t="inlineStr">
        <is>
          <t>Fomapan 100</t>
        </is>
      </c>
      <c r="B289" t="n">
        <v>100</v>
      </c>
      <c r="C289" t="inlineStr">
        <is>
          <t>Romek R09</t>
        </is>
      </c>
      <c r="D289" t="inlineStr">
        <is>
          <t>1+50</t>
        </is>
      </c>
      <c r="F289" t="n">
        <v>10</v>
      </c>
      <c r="I289" t="n">
        <v>13</v>
      </c>
      <c r="J289" t="n">
        <v>17</v>
      </c>
      <c r="K289" t="n">
        <v>22</v>
      </c>
      <c r="L289" t="inlineStr">
        <is>
          <t>Equivalente Rodinal — Foma</t>
        </is>
      </c>
    </row>
    <row r="290">
      <c r="A290" t="inlineStr">
        <is>
          <t>Fomapan 100</t>
        </is>
      </c>
      <c r="B290" t="n">
        <v>100</v>
      </c>
      <c r="C290" t="inlineStr">
        <is>
          <t>Romek R09</t>
        </is>
      </c>
      <c r="D290" t="inlineStr">
        <is>
          <t>1+100</t>
        </is>
      </c>
      <c r="F290" t="n">
        <v>20</v>
      </c>
      <c r="I290" t="n">
        <v>26</v>
      </c>
      <c r="J290" t="n">
        <v>34</v>
      </c>
      <c r="K290" t="n">
        <v>44</v>
      </c>
      <c r="L290" t="inlineStr">
        <is>
          <t>Equivalente Rodinal — Foma</t>
        </is>
      </c>
    </row>
    <row r="291">
      <c r="A291" t="inlineStr">
        <is>
          <t>Fomapan 200</t>
        </is>
      </c>
      <c r="B291" t="n">
        <v>200</v>
      </c>
      <c r="C291" t="inlineStr">
        <is>
          <t>Romek R09</t>
        </is>
      </c>
      <c r="D291" t="inlineStr">
        <is>
          <t>1+50</t>
        </is>
      </c>
      <c r="F291" t="n">
        <v>12</v>
      </c>
      <c r="I291" t="n">
        <v>15.5</v>
      </c>
      <c r="J291" t="n">
        <v>20</v>
      </c>
      <c r="K291" t="n">
        <v>26</v>
      </c>
      <c r="L291" t="inlineStr">
        <is>
          <t>Equivalente Rodinal — Foma</t>
        </is>
      </c>
    </row>
    <row r="292">
      <c r="A292" t="inlineStr">
        <is>
          <t>Fomapan 400</t>
        </is>
      </c>
      <c r="B292" t="n">
        <v>400</v>
      </c>
      <c r="C292" t="inlineStr">
        <is>
          <t>Romek R09</t>
        </is>
      </c>
      <c r="D292" t="inlineStr">
        <is>
          <t>1+25</t>
        </is>
      </c>
      <c r="F292" t="n">
        <v>7</v>
      </c>
      <c r="I292" t="n">
        <v>10</v>
      </c>
      <c r="J292" t="n">
        <v>14</v>
      </c>
      <c r="K292" t="n">
        <v>18</v>
      </c>
      <c r="L292" t="inlineStr">
        <is>
          <t>Equivalente Rodinal — Foma</t>
        </is>
      </c>
    </row>
    <row r="293">
      <c r="A293" t="inlineStr">
        <is>
          <t>Fomapan 400</t>
        </is>
      </c>
      <c r="B293" t="n">
        <v>400</v>
      </c>
      <c r="C293" t="inlineStr">
        <is>
          <t>Romek R09</t>
        </is>
      </c>
      <c r="D293" t="inlineStr">
        <is>
          <t>1+50</t>
        </is>
      </c>
      <c r="F293" t="n">
        <v>13</v>
      </c>
      <c r="I293" t="n">
        <v>17</v>
      </c>
      <c r="J293" t="n">
        <v>22</v>
      </c>
      <c r="K293" t="n">
        <v>28.5</v>
      </c>
      <c r="L293" t="inlineStr">
        <is>
          <t>Equivalente Rodinal — Foma</t>
        </is>
      </c>
    </row>
    <row r="294">
      <c r="A294" t="inlineStr">
        <is>
          <t>Foma Retropan 320</t>
        </is>
      </c>
      <c r="B294" t="n">
        <v>320</v>
      </c>
      <c r="C294" t="inlineStr">
        <is>
          <t>Romek R09</t>
        </is>
      </c>
      <c r="D294" t="inlineStr">
        <is>
          <t>1+25</t>
        </is>
      </c>
      <c r="F294" t="n">
        <v>8</v>
      </c>
      <c r="I294" t="n">
        <v>12</v>
      </c>
      <c r="J294" t="n">
        <v>15.5</v>
      </c>
      <c r="K294" t="n">
        <v>20</v>
      </c>
      <c r="L294" t="inlineStr">
        <is>
          <t>Equivalente Rodinal — Foma</t>
        </is>
      </c>
    </row>
    <row r="295">
      <c r="A295" t="inlineStr">
        <is>
          <t>Foma Retropan 320</t>
        </is>
      </c>
      <c r="B295" t="n">
        <v>320</v>
      </c>
      <c r="C295" t="inlineStr">
        <is>
          <t>Romek R09</t>
        </is>
      </c>
      <c r="D295" t="inlineStr">
        <is>
          <t>1+50</t>
        </is>
      </c>
      <c r="F295" t="n">
        <v>14</v>
      </c>
      <c r="I295" t="n">
        <v>18</v>
      </c>
      <c r="J295" t="n">
        <v>23.5</v>
      </c>
      <c r="K295" t="n">
        <v>30.5</v>
      </c>
      <c r="L295" t="inlineStr">
        <is>
          <t>Equivalente Rodinal — Foma</t>
        </is>
      </c>
    </row>
    <row r="296">
      <c r="A296" t="inlineStr">
        <is>
          <t>Fuji Neopan Acros 100 II</t>
        </is>
      </c>
      <c r="B296" t="n">
        <v>100</v>
      </c>
      <c r="C296" t="inlineStr">
        <is>
          <t>Romek R09</t>
        </is>
      </c>
      <c r="D296" t="inlineStr">
        <is>
          <t>1+50</t>
        </is>
      </c>
      <c r="F296" t="n">
        <v>12</v>
      </c>
      <c r="I296" t="n">
        <v>15.5</v>
      </c>
      <c r="J296" t="n">
        <v>20</v>
      </c>
      <c r="K296" t="n">
        <v>26</v>
      </c>
      <c r="L296" t="inlineStr">
        <is>
          <t>Equivalente Rodinal — Fujifilm</t>
        </is>
      </c>
    </row>
    <row r="297">
      <c r="A297" t="inlineStr">
        <is>
          <t>Adox CHS 100 II</t>
        </is>
      </c>
      <c r="B297" t="n">
        <v>100</v>
      </c>
      <c r="C297" t="inlineStr">
        <is>
          <t>Romek R09</t>
        </is>
      </c>
      <c r="D297" t="inlineStr">
        <is>
          <t>1+25</t>
        </is>
      </c>
      <c r="F297" t="n">
        <v>8</v>
      </c>
      <c r="I297" t="n">
        <v>10.5</v>
      </c>
      <c r="J297" t="n">
        <v>13.5</v>
      </c>
      <c r="K297" t="n">
        <v>17.5</v>
      </c>
      <c r="L297" t="inlineStr">
        <is>
          <t>Equivalente Rodinal — Adox</t>
        </is>
      </c>
    </row>
    <row r="298">
      <c r="A298" t="inlineStr">
        <is>
          <t>Adox CHS 100 II</t>
        </is>
      </c>
      <c r="B298" t="n">
        <v>100</v>
      </c>
      <c r="C298" t="inlineStr">
        <is>
          <t>Romek R09</t>
        </is>
      </c>
      <c r="D298" t="inlineStr">
        <is>
          <t>1+50</t>
        </is>
      </c>
      <c r="F298" t="n">
        <v>13</v>
      </c>
      <c r="I298" t="n">
        <v>17</v>
      </c>
      <c r="J298" t="n">
        <v>22</v>
      </c>
      <c r="K298" t="n">
        <v>28.5</v>
      </c>
      <c r="L298" t="inlineStr">
        <is>
          <t>Equivalente Rodinal — Adox</t>
        </is>
      </c>
    </row>
    <row r="299">
      <c r="A299" t="inlineStr">
        <is>
          <t>Adox Silvermax 100</t>
        </is>
      </c>
      <c r="B299" t="n">
        <v>100</v>
      </c>
      <c r="C299" t="inlineStr">
        <is>
          <t>Romek R09</t>
        </is>
      </c>
      <c r="D299" t="inlineStr">
        <is>
          <t>1+50</t>
        </is>
      </c>
      <c r="F299" t="n">
        <v>12</v>
      </c>
      <c r="I299" t="n">
        <v>15.5</v>
      </c>
      <c r="J299" t="n">
        <v>20</v>
      </c>
      <c r="K299" t="n">
        <v>26</v>
      </c>
      <c r="L299" t="inlineStr">
        <is>
          <t>Equivalente Rodinal — Adox</t>
        </is>
      </c>
    </row>
    <row r="300">
      <c r="A300" t="inlineStr">
        <is>
          <t>Bergger Pancro 400</t>
        </is>
      </c>
      <c r="B300" t="n">
        <v>400</v>
      </c>
      <c r="C300" t="inlineStr">
        <is>
          <t>Romek R09</t>
        </is>
      </c>
      <c r="D300" t="inlineStr">
        <is>
          <t>1+25</t>
        </is>
      </c>
      <c r="F300" t="n">
        <v>9</v>
      </c>
      <c r="I300" t="n">
        <v>13</v>
      </c>
      <c r="J300" t="n">
        <v>17</v>
      </c>
      <c r="K300" t="n">
        <v>22</v>
      </c>
      <c r="L300" t="inlineStr">
        <is>
          <t>Equivalente Rodinal — Bergger</t>
        </is>
      </c>
    </row>
    <row r="301">
      <c r="A301" t="inlineStr">
        <is>
          <t>Bergger Pancro 400</t>
        </is>
      </c>
      <c r="B301" t="n">
        <v>400</v>
      </c>
      <c r="C301" t="inlineStr">
        <is>
          <t>Romek R09</t>
        </is>
      </c>
      <c r="D301" t="inlineStr">
        <is>
          <t>1+50</t>
        </is>
      </c>
      <c r="F301" t="n">
        <v>15</v>
      </c>
      <c r="I301" t="n">
        <v>19.5</v>
      </c>
      <c r="J301" t="n">
        <v>25.5</v>
      </c>
      <c r="K301" t="n">
        <v>33</v>
      </c>
      <c r="L301" t="inlineStr">
        <is>
          <t>Equivalente Rodinal — Bergger</t>
        </is>
      </c>
    </row>
    <row r="302">
      <c r="A302" t="inlineStr">
        <is>
          <t>Rollei RPX 100</t>
        </is>
      </c>
      <c r="B302" t="n">
        <v>100</v>
      </c>
      <c r="C302" t="inlineStr">
        <is>
          <t>Romek R09</t>
        </is>
      </c>
      <c r="D302" t="inlineStr">
        <is>
          <t>1+25</t>
        </is>
      </c>
      <c r="F302" t="n">
        <v>7</v>
      </c>
      <c r="I302" t="n">
        <v>9</v>
      </c>
      <c r="J302" t="n">
        <v>11.5</v>
      </c>
      <c r="K302" t="n">
        <v>15</v>
      </c>
      <c r="L302" t="inlineStr">
        <is>
          <t>Equivalente Rodinal — Rollei</t>
        </is>
      </c>
    </row>
    <row r="303">
      <c r="A303" t="inlineStr">
        <is>
          <t>Rollei RPX 100</t>
        </is>
      </c>
      <c r="B303" t="n">
        <v>100</v>
      </c>
      <c r="C303" t="inlineStr">
        <is>
          <t>Romek R09</t>
        </is>
      </c>
      <c r="D303" t="inlineStr">
        <is>
          <t>1+50</t>
        </is>
      </c>
      <c r="F303" t="n">
        <v>11</v>
      </c>
      <c r="I303" t="n">
        <v>14.5</v>
      </c>
      <c r="J303" t="n">
        <v>19</v>
      </c>
      <c r="K303" t="n">
        <v>24.5</v>
      </c>
      <c r="L303" t="inlineStr">
        <is>
          <t>Equivalente Rodinal — Rollei</t>
        </is>
      </c>
    </row>
    <row r="304">
      <c r="A304" t="inlineStr">
        <is>
          <t>Rollei RPX 400</t>
        </is>
      </c>
      <c r="B304" t="n">
        <v>400</v>
      </c>
      <c r="C304" t="inlineStr">
        <is>
          <t>Romek R09</t>
        </is>
      </c>
      <c r="D304" t="inlineStr">
        <is>
          <t>1+25</t>
        </is>
      </c>
      <c r="F304" t="n">
        <v>8</v>
      </c>
      <c r="I304" t="n">
        <v>11</v>
      </c>
      <c r="J304" t="n">
        <v>15</v>
      </c>
      <c r="K304" t="n">
        <v>19.5</v>
      </c>
      <c r="L304" t="inlineStr">
        <is>
          <t>Equivalente Rodinal — Rollei</t>
        </is>
      </c>
    </row>
    <row r="305">
      <c r="A305" t="inlineStr">
        <is>
          <t>Rollei RPX 400</t>
        </is>
      </c>
      <c r="B305" t="n">
        <v>400</v>
      </c>
      <c r="C305" t="inlineStr">
        <is>
          <t>Romek R09</t>
        </is>
      </c>
      <c r="D305" t="inlineStr">
        <is>
          <t>1+50</t>
        </is>
      </c>
      <c r="F305" t="n">
        <v>14</v>
      </c>
      <c r="I305" t="n">
        <v>18</v>
      </c>
      <c r="J305" t="n">
        <v>23.5</v>
      </c>
      <c r="K305" t="n">
        <v>30.5</v>
      </c>
      <c r="L305" t="inlineStr">
        <is>
          <t>Equivalente Rodinal — Rollei</t>
        </is>
      </c>
    </row>
    <row r="306">
      <c r="A306" t="inlineStr">
        <is>
          <t>CineStill BwXX</t>
        </is>
      </c>
      <c r="B306" t="n">
        <v>250</v>
      </c>
      <c r="C306" t="inlineStr">
        <is>
          <t>Romek R09</t>
        </is>
      </c>
      <c r="D306" t="inlineStr">
        <is>
          <t>1+25</t>
        </is>
      </c>
      <c r="F306" t="n">
        <v>9</v>
      </c>
      <c r="I306" t="n">
        <v>13</v>
      </c>
      <c r="J306" t="n">
        <v>17</v>
      </c>
      <c r="K306" t="n">
        <v>22</v>
      </c>
      <c r="L306" t="inlineStr">
        <is>
          <t>Equivalente Rodinal — Kodak/CineStill</t>
        </is>
      </c>
    </row>
    <row r="307">
      <c r="A307" t="inlineStr">
        <is>
          <t>Ferrania P30</t>
        </is>
      </c>
      <c r="B307" t="n">
        <v>80</v>
      </c>
      <c r="C307" t="inlineStr">
        <is>
          <t>Romek R09</t>
        </is>
      </c>
      <c r="D307" t="inlineStr">
        <is>
          <t>1+50</t>
        </is>
      </c>
      <c r="F307" t="n">
        <v>11</v>
      </c>
      <c r="I307" t="n">
        <v>14.5</v>
      </c>
      <c r="J307" t="n">
        <v>19</v>
      </c>
      <c r="K307" t="n">
        <v>24.5</v>
      </c>
      <c r="L307" t="inlineStr">
        <is>
          <t>Equivalente Rodinal — Ferrania</t>
        </is>
      </c>
    </row>
    <row r="308">
      <c r="A308" t="inlineStr">
        <is>
          <t>Lomo Lady Grey 400</t>
        </is>
      </c>
      <c r="B308" t="n">
        <v>400</v>
      </c>
      <c r="C308" t="inlineStr">
        <is>
          <t>Romek R09</t>
        </is>
      </c>
      <c r="D308" t="inlineStr">
        <is>
          <t>1+25</t>
        </is>
      </c>
      <c r="F308" t="n">
        <v>5</v>
      </c>
      <c r="I308" t="n">
        <v>6.5</v>
      </c>
      <c r="J308" t="n">
        <v>8.5</v>
      </c>
      <c r="K308" t="n">
        <v>11</v>
      </c>
      <c r="L308" t="inlineStr">
        <is>
          <t>Equivalente Rodinal — Lomography oficial</t>
        </is>
      </c>
    </row>
    <row r="309">
      <c r="A309" t="inlineStr">
        <is>
          <t>Lomo Lady Grey 400</t>
        </is>
      </c>
      <c r="B309" t="n">
        <v>400</v>
      </c>
      <c r="C309" t="inlineStr">
        <is>
          <t>Romek R09</t>
        </is>
      </c>
      <c r="D309" t="inlineStr">
        <is>
          <t>1+50</t>
        </is>
      </c>
      <c r="F309" t="n">
        <v>10</v>
      </c>
      <c r="I309" t="n">
        <v>13</v>
      </c>
      <c r="J309" t="n">
        <v>17</v>
      </c>
      <c r="K309" t="n">
        <v>22</v>
      </c>
      <c r="L309" t="inlineStr">
        <is>
          <t>Equivalente Rodinal — Lomography oficial</t>
        </is>
      </c>
    </row>
    <row r="310">
      <c r="A310" t="inlineStr">
        <is>
          <t>Lomo Earl Grey 100</t>
        </is>
      </c>
      <c r="B310" t="n">
        <v>100</v>
      </c>
      <c r="C310" t="inlineStr">
        <is>
          <t>Romek R09</t>
        </is>
      </c>
      <c r="D310" t="inlineStr">
        <is>
          <t>1+50</t>
        </is>
      </c>
      <c r="F310" t="n">
        <v>8</v>
      </c>
      <c r="I310" t="n">
        <v>10.5</v>
      </c>
      <c r="J310" t="n">
        <v>13.5</v>
      </c>
      <c r="K310" t="n">
        <v>17.5</v>
      </c>
      <c r="L310" t="inlineStr">
        <is>
          <t>Equivalente Rodinal — Lomography oficial</t>
        </is>
      </c>
    </row>
    <row r="311">
      <c r="A311" t="inlineStr">
        <is>
          <t>Lomo Berlin Kino 400</t>
        </is>
      </c>
      <c r="B311" t="n">
        <v>400</v>
      </c>
      <c r="C311" t="inlineStr">
        <is>
          <t>Romek R09</t>
        </is>
      </c>
      <c r="D311" t="inlineStr">
        <is>
          <t>1+25</t>
        </is>
      </c>
      <c r="F311" t="n">
        <v>9</v>
      </c>
      <c r="I311" t="n">
        <v>12</v>
      </c>
      <c r="J311" t="n">
        <v>15.5</v>
      </c>
      <c r="K311" t="n">
        <v>20</v>
      </c>
      <c r="L311" t="inlineStr">
        <is>
          <t>Equivalente Rodinal — Lomography oficial</t>
        </is>
      </c>
    </row>
    <row r="312">
      <c r="A312" t="inlineStr">
        <is>
          <t>Lomo Berlin Kino 400</t>
        </is>
      </c>
      <c r="B312" t="n">
        <v>400</v>
      </c>
      <c r="C312" t="inlineStr">
        <is>
          <t>Romek R09</t>
        </is>
      </c>
      <c r="D312" t="inlineStr">
        <is>
          <t>1+50</t>
        </is>
      </c>
      <c r="F312" t="n">
        <v>13</v>
      </c>
      <c r="I312" t="n">
        <v>17</v>
      </c>
      <c r="J312" t="n">
        <v>22</v>
      </c>
      <c r="K312" t="n">
        <v>28.5</v>
      </c>
      <c r="L312" t="inlineStr">
        <is>
          <t>Equivalente Rodinal — Lomography oficial</t>
        </is>
      </c>
    </row>
    <row r="313">
      <c r="A313" t="inlineStr">
        <is>
          <t>Lomo Potsdam Kino 100</t>
        </is>
      </c>
      <c r="B313" t="n">
        <v>100</v>
      </c>
      <c r="C313" t="inlineStr">
        <is>
          <t>Romek R09</t>
        </is>
      </c>
      <c r="D313" t="inlineStr">
        <is>
          <t>1+50</t>
        </is>
      </c>
      <c r="F313" t="n">
        <v>9.5</v>
      </c>
      <c r="I313" t="n">
        <v>12.5</v>
      </c>
      <c r="J313" t="n">
        <v>16</v>
      </c>
      <c r="K313" t="n">
        <v>21</v>
      </c>
      <c r="L313" t="inlineStr">
        <is>
          <t>Equivalente Rodinal — Lomography oficial</t>
        </is>
      </c>
    </row>
    <row r="314">
      <c r="A314" t="inlineStr">
        <is>
          <t>Lomo Fantome Kino 8</t>
        </is>
      </c>
      <c r="B314" t="n">
        <v>8</v>
      </c>
      <c r="C314" t="inlineStr">
        <is>
          <t>Romek R09</t>
        </is>
      </c>
      <c r="D314" t="inlineStr">
        <is>
          <t>1+50</t>
        </is>
      </c>
      <c r="F314" t="n">
        <v>8</v>
      </c>
      <c r="I314" t="n">
        <v>10.5</v>
      </c>
      <c r="J314" t="n">
        <v>13.5</v>
      </c>
      <c r="K314" t="n">
        <v>17.5</v>
      </c>
      <c r="L314" t="inlineStr">
        <is>
          <t>Equivalente Rodinal — Massive Dev / comunidad</t>
        </is>
      </c>
    </row>
    <row r="315">
      <c r="A315" t="inlineStr">
        <is>
          <t>JCH Streetpan 400</t>
        </is>
      </c>
      <c r="B315" t="n">
        <v>400</v>
      </c>
      <c r="C315" t="inlineStr">
        <is>
          <t>Romek R09</t>
        </is>
      </c>
      <c r="D315" t="inlineStr">
        <is>
          <t>1+25</t>
        </is>
      </c>
      <c r="F315" t="n">
        <v>10.5</v>
      </c>
      <c r="I315" t="n">
        <v>13.5</v>
      </c>
      <c r="J315" t="n">
        <v>17.5</v>
      </c>
      <c r="K315" t="n">
        <v>23</v>
      </c>
      <c r="L315" t="inlineStr">
        <is>
          <t>Equivalente Rodinal — JCH oficial (carton)</t>
        </is>
      </c>
    </row>
    <row r="316">
      <c r="A316" t="inlineStr">
        <is>
          <t>JCH Streetpan 400</t>
        </is>
      </c>
      <c r="B316" t="n">
        <v>400</v>
      </c>
      <c r="C316" t="inlineStr">
        <is>
          <t>Romek R09</t>
        </is>
      </c>
      <c r="D316" t="inlineStr">
        <is>
          <t>1+50</t>
        </is>
      </c>
      <c r="F316" t="n">
        <v>22</v>
      </c>
      <c r="I316" t="n">
        <v>28.5</v>
      </c>
      <c r="J316" t="n">
        <v>37</v>
      </c>
      <c r="K316" t="n">
        <v>48</v>
      </c>
      <c r="L316" t="inlineStr">
        <is>
          <t>Equivalente Rodinal — JCH oficial (carton)</t>
        </is>
      </c>
    </row>
    <row r="317">
      <c r="A317" t="inlineStr">
        <is>
          <t>Kosmo Foto Mono 100</t>
        </is>
      </c>
      <c r="B317" t="n">
        <v>100</v>
      </c>
      <c r="C317" t="inlineStr">
        <is>
          <t>Romek R09</t>
        </is>
      </c>
      <c r="D317" t="inlineStr">
        <is>
          <t>1+25</t>
        </is>
      </c>
      <c r="F317" t="n">
        <v>3.5</v>
      </c>
      <c r="I317" t="n">
        <v>4.5</v>
      </c>
      <c r="J317" t="n">
        <v>6</v>
      </c>
      <c r="K317" t="n">
        <v>8</v>
      </c>
      <c r="L317" t="inlineStr">
        <is>
          <t>Equivalente Rodinal — Kosmo Foto oficial</t>
        </is>
      </c>
    </row>
    <row r="318">
      <c r="A318" t="inlineStr">
        <is>
          <t>Kosmo Foto Mono 100</t>
        </is>
      </c>
      <c r="B318" t="n">
        <v>100</v>
      </c>
      <c r="C318" t="inlineStr">
        <is>
          <t>Romek R09</t>
        </is>
      </c>
      <c r="D318" t="inlineStr">
        <is>
          <t>1+50</t>
        </is>
      </c>
      <c r="F318" t="n">
        <v>7.5</v>
      </c>
      <c r="I318" t="n">
        <v>10</v>
      </c>
      <c r="J318" t="n">
        <v>13</v>
      </c>
      <c r="K318" t="n">
        <v>17</v>
      </c>
      <c r="L318" t="inlineStr">
        <is>
          <t>Equivalente Rodinal — Kosmo Foto / comunidad</t>
        </is>
      </c>
    </row>
    <row r="319">
      <c r="A319" t="inlineStr">
        <is>
          <t>Kodak Double-X 5222</t>
        </is>
      </c>
      <c r="B319" t="n">
        <v>250</v>
      </c>
      <c r="C319" t="inlineStr">
        <is>
          <t>Romek R09</t>
        </is>
      </c>
      <c r="D319" t="inlineStr">
        <is>
          <t>1+25</t>
        </is>
      </c>
      <c r="F319" t="n">
        <v>9</v>
      </c>
      <c r="I319" t="n">
        <v>13</v>
      </c>
      <c r="J319" t="n">
        <v>17</v>
      </c>
      <c r="K319" t="n">
        <v>22</v>
      </c>
      <c r="L319" t="inlineStr">
        <is>
          <t>Equivalente Rodinal — CineStill / Bergger</t>
        </is>
      </c>
    </row>
    <row r="320">
      <c r="A320" t="inlineStr">
        <is>
          <t>Kodak Double-X 5222</t>
        </is>
      </c>
      <c r="B320" t="n">
        <v>250</v>
      </c>
      <c r="C320" t="inlineStr">
        <is>
          <t>Romek R09</t>
        </is>
      </c>
      <c r="D320" t="inlineStr">
        <is>
          <t>1+50</t>
        </is>
      </c>
      <c r="F320" t="n">
        <v>9</v>
      </c>
      <c r="I320" t="n">
        <v>11.5</v>
      </c>
      <c r="J320" t="n">
        <v>15</v>
      </c>
      <c r="K320" t="n">
        <v>19.5</v>
      </c>
      <c r="L320" t="inlineStr">
        <is>
          <t>Equivalente Rodinal — CineStill / Bergger</t>
        </is>
      </c>
    </row>
    <row r="321">
      <c r="A321" t="inlineStr">
        <is>
          <t>Kodak Plus-X 125</t>
        </is>
      </c>
      <c r="B321" t="n">
        <v>125</v>
      </c>
      <c r="C321" t="inlineStr">
        <is>
          <t>T-MAX Dev</t>
        </is>
      </c>
      <c r="D321" t="inlineStr">
        <is>
          <t>Stock</t>
        </is>
      </c>
      <c r="F321" t="n">
        <v>5.75</v>
      </c>
      <c r="I321" t="n">
        <v>7.5</v>
      </c>
      <c r="J321" t="n">
        <v>10</v>
      </c>
      <c r="K321" t="n">
        <v>13</v>
      </c>
      <c r="L321" t="inlineStr">
        <is>
          <t>Kodak F-4018</t>
        </is>
      </c>
    </row>
    <row r="322">
      <c r="A322" t="inlineStr">
        <is>
          <t>Kodak Plus-X 125</t>
        </is>
      </c>
      <c r="B322" t="n">
        <v>125</v>
      </c>
      <c r="C322" t="inlineStr">
        <is>
          <t>T-MAX RS</t>
        </is>
      </c>
      <c r="D322" t="inlineStr">
        <is>
          <t>1+4</t>
        </is>
      </c>
      <c r="F322" t="n">
        <v>4.25</v>
      </c>
      <c r="I322" t="n">
        <v>5.5</v>
      </c>
      <c r="J322" t="n">
        <v>7</v>
      </c>
      <c r="K322" t="n">
        <v>9</v>
      </c>
      <c r="L322" t="inlineStr">
        <is>
          <t>Kodak F-4018</t>
        </is>
      </c>
    </row>
    <row r="323">
      <c r="A323" t="inlineStr">
        <is>
          <t>Kodak Plus-X 125</t>
        </is>
      </c>
      <c r="B323" t="n">
        <v>125</v>
      </c>
      <c r="C323" t="inlineStr">
        <is>
          <t>D-76</t>
        </is>
      </c>
      <c r="D323" t="inlineStr">
        <is>
          <t>1+1</t>
        </is>
      </c>
      <c r="F323" t="n">
        <v>8.5</v>
      </c>
      <c r="I323" t="n">
        <v>11</v>
      </c>
      <c r="J323" t="n">
        <v>14.5</v>
      </c>
      <c r="K323" t="n">
        <v>19</v>
      </c>
      <c r="L323" t="inlineStr">
        <is>
          <t>Kodak F-4018</t>
        </is>
      </c>
    </row>
    <row r="324">
      <c r="A324" t="inlineStr">
        <is>
          <t>Kodak Plus-X 125</t>
        </is>
      </c>
      <c r="B324" t="n">
        <v>125</v>
      </c>
      <c r="C324" t="inlineStr">
        <is>
          <t>XTOL</t>
        </is>
      </c>
      <c r="D324" t="inlineStr">
        <is>
          <t>Stock</t>
        </is>
      </c>
      <c r="F324" t="n">
        <v>5.5</v>
      </c>
      <c r="I324" t="n">
        <v>7</v>
      </c>
      <c r="J324" t="n">
        <v>9</v>
      </c>
      <c r="K324" t="n">
        <v>11.5</v>
      </c>
      <c r="L324" t="inlineStr">
        <is>
          <t>Kodak F-4018</t>
        </is>
      </c>
    </row>
    <row r="325">
      <c r="A325" t="inlineStr">
        <is>
          <t>Kodak Plus-X 125</t>
        </is>
      </c>
      <c r="B325" t="n">
        <v>125</v>
      </c>
      <c r="C325" t="inlineStr">
        <is>
          <t>XTOL</t>
        </is>
      </c>
      <c r="D325" t="inlineStr">
        <is>
          <t>1+1</t>
        </is>
      </c>
      <c r="F325" t="n">
        <v>8.25</v>
      </c>
      <c r="I325" t="n">
        <v>10.5</v>
      </c>
      <c r="J325" t="n">
        <v>13.5</v>
      </c>
      <c r="K325" t="n">
        <v>17.5</v>
      </c>
      <c r="L325" t="inlineStr">
        <is>
          <t>Kodak F-4018</t>
        </is>
      </c>
    </row>
    <row r="326">
      <c r="A326" t="inlineStr">
        <is>
          <t>Kodak Plus-X 125</t>
        </is>
      </c>
      <c r="B326" t="n">
        <v>125</v>
      </c>
      <c r="C326" t="inlineStr">
        <is>
          <t>Microdol-X</t>
        </is>
      </c>
      <c r="D326" t="inlineStr">
        <is>
          <t>Stock</t>
        </is>
      </c>
      <c r="F326" t="n">
        <v>8</v>
      </c>
      <c r="I326" t="n">
        <v>10.5</v>
      </c>
      <c r="J326" t="n">
        <v>13.5</v>
      </c>
      <c r="K326" t="n">
        <v>17.5</v>
      </c>
      <c r="L326" t="inlineStr">
        <is>
          <t>Kodak F-4018</t>
        </is>
      </c>
    </row>
    <row r="327">
      <c r="A327" t="inlineStr">
        <is>
          <t>Kodak Plus-X 125</t>
        </is>
      </c>
      <c r="B327" t="n">
        <v>125</v>
      </c>
      <c r="C327" t="inlineStr">
        <is>
          <t>Microdol-X</t>
        </is>
      </c>
      <c r="D327" t="inlineStr">
        <is>
          <t>1+3</t>
        </is>
      </c>
      <c r="F327" t="n">
        <v>13</v>
      </c>
      <c r="I327" t="n">
        <v>17</v>
      </c>
      <c r="J327" t="n">
        <v>22</v>
      </c>
      <c r="K327" t="n">
        <v>28.5</v>
      </c>
      <c r="L327" t="inlineStr">
        <is>
          <t>Kodak F-4018</t>
        </is>
      </c>
    </row>
    <row r="328">
      <c r="A328" t="inlineStr">
        <is>
          <t>Foma Retropan 320</t>
        </is>
      </c>
      <c r="B328" t="n">
        <v>320</v>
      </c>
      <c r="C328" t="inlineStr">
        <is>
          <t>Foma Retro Special Dev</t>
        </is>
      </c>
      <c r="D328" t="inlineStr">
        <is>
          <t>Stock</t>
        </is>
      </c>
      <c r="F328" t="n">
        <v>4.5</v>
      </c>
      <c r="I328" t="n">
        <v>7.5</v>
      </c>
      <c r="J328" t="n">
        <v>10</v>
      </c>
      <c r="K328" t="n">
        <v>13</v>
      </c>
      <c r="L328" t="inlineStr">
        <is>
          <t>Foma datasheet 09/2019</t>
        </is>
      </c>
    </row>
    <row r="329">
      <c r="A329" t="inlineStr">
        <is>
          <t>Foma Retropan 320</t>
        </is>
      </c>
      <c r="B329" t="n">
        <v>320</v>
      </c>
      <c r="C329" t="inlineStr">
        <is>
          <t>Microphen</t>
        </is>
      </c>
      <c r="D329" t="inlineStr">
        <is>
          <t>Stock</t>
        </is>
      </c>
      <c r="F329" t="n">
        <v>10.5</v>
      </c>
      <c r="I329" t="n">
        <v>16</v>
      </c>
      <c r="J329" t="n">
        <v>21</v>
      </c>
      <c r="K329" t="n">
        <v>27.5</v>
      </c>
      <c r="L329" t="inlineStr">
        <is>
          <t>Foma datasheet 09/2019</t>
        </is>
      </c>
    </row>
    <row r="330">
      <c r="A330" t="inlineStr">
        <is>
          <t>Foma Retropan 320</t>
        </is>
      </c>
      <c r="B330" t="n">
        <v>320</v>
      </c>
      <c r="C330" t="inlineStr">
        <is>
          <t>HC-110</t>
        </is>
      </c>
      <c r="D330" t="inlineStr">
        <is>
          <t>Dil. B (1+31)</t>
        </is>
      </c>
      <c r="F330" t="n">
        <v>7.5</v>
      </c>
      <c r="I330" t="n">
        <v>12</v>
      </c>
      <c r="J330" t="n">
        <v>15.5</v>
      </c>
      <c r="K330" t="n">
        <v>20</v>
      </c>
      <c r="L330" t="inlineStr">
        <is>
          <t>Foma datasheet 09/2019</t>
        </is>
      </c>
    </row>
    <row r="331">
      <c r="A331" t="inlineStr">
        <is>
          <t>Foma Retropan 320</t>
        </is>
      </c>
      <c r="B331" t="n">
        <v>320</v>
      </c>
      <c r="C331" t="inlineStr">
        <is>
          <t>Ilfotec LC29</t>
        </is>
      </c>
      <c r="D331" t="inlineStr">
        <is>
          <t>1+29</t>
        </is>
      </c>
      <c r="F331" t="n">
        <v>9</v>
      </c>
      <c r="I331" t="n">
        <v>11.5</v>
      </c>
      <c r="J331" t="n">
        <v>15</v>
      </c>
      <c r="K331" t="n">
        <v>19.5</v>
      </c>
      <c r="L331" t="inlineStr">
        <is>
          <t>Comunidad / photo-analogue.blogspot</t>
        </is>
      </c>
    </row>
    <row r="332">
      <c r="A332" t="inlineStr">
        <is>
          <t>Ilford Kentmere 100</t>
        </is>
      </c>
      <c r="B332" t="n">
        <v>100</v>
      </c>
      <c r="C332" t="inlineStr">
        <is>
          <t>ID-11</t>
        </is>
      </c>
      <c r="D332" t="inlineStr">
        <is>
          <t>1+1</t>
        </is>
      </c>
      <c r="F332" t="n">
        <v>11.5</v>
      </c>
      <c r="I332" t="n">
        <v>15</v>
      </c>
      <c r="J332" t="n">
        <v>19.5</v>
      </c>
      <c r="K332" t="n">
        <v>25.5</v>
      </c>
      <c r="L332" t="inlineStr">
        <is>
          <t>Ilford Kentmere 100 datasheet</t>
        </is>
      </c>
    </row>
    <row r="333">
      <c r="A333" t="inlineStr">
        <is>
          <t>Ilford Kentmere 100</t>
        </is>
      </c>
      <c r="B333" t="n">
        <v>100</v>
      </c>
      <c r="C333" t="inlineStr">
        <is>
          <t>ID-11</t>
        </is>
      </c>
      <c r="D333" t="inlineStr">
        <is>
          <t>1+3</t>
        </is>
      </c>
      <c r="F333" t="n">
        <v>21</v>
      </c>
      <c r="I333" t="n">
        <v>27.5</v>
      </c>
      <c r="J333" t="n">
        <v>36</v>
      </c>
      <c r="K333" t="n">
        <v>47</v>
      </c>
      <c r="L333" t="inlineStr">
        <is>
          <t>Ilford Kentmere 100 datasheet</t>
        </is>
      </c>
    </row>
    <row r="334">
      <c r="A334" t="inlineStr">
        <is>
          <t>Ilford Kentmere 100</t>
        </is>
      </c>
      <c r="B334" t="n">
        <v>100</v>
      </c>
      <c r="C334" t="inlineStr">
        <is>
          <t>Microphen</t>
        </is>
      </c>
      <c r="D334" t="inlineStr">
        <is>
          <t>Stock</t>
        </is>
      </c>
      <c r="F334" t="n">
        <v>8.5</v>
      </c>
      <c r="I334" t="n">
        <v>9</v>
      </c>
      <c r="J334" t="n">
        <v>11.5</v>
      </c>
      <c r="K334" t="n">
        <v>15</v>
      </c>
      <c r="L334" t="inlineStr">
        <is>
          <t>Ilford Kentmere 100 datasheet</t>
        </is>
      </c>
    </row>
    <row r="335">
      <c r="A335" t="inlineStr">
        <is>
          <t>Ilford Kentmere 100</t>
        </is>
      </c>
      <c r="B335" t="n">
        <v>100</v>
      </c>
      <c r="C335" t="inlineStr">
        <is>
          <t>Microphen</t>
        </is>
      </c>
      <c r="D335" t="inlineStr">
        <is>
          <t>1+1</t>
        </is>
      </c>
      <c r="F335" t="n">
        <v>10.5</v>
      </c>
      <c r="I335" t="n">
        <v>14</v>
      </c>
      <c r="J335" t="n">
        <v>18</v>
      </c>
      <c r="K335" t="n">
        <v>23.5</v>
      </c>
      <c r="L335" t="inlineStr">
        <is>
          <t>Ilford Kentmere 100 datasheet</t>
        </is>
      </c>
    </row>
    <row r="336">
      <c r="A336" t="inlineStr">
        <is>
          <t>Ilford Kentmere 100</t>
        </is>
      </c>
      <c r="B336" t="n">
        <v>100</v>
      </c>
      <c r="C336" t="inlineStr">
        <is>
          <t>Perceptol</t>
        </is>
      </c>
      <c r="D336" t="inlineStr">
        <is>
          <t>Stock</t>
        </is>
      </c>
      <c r="F336" t="n">
        <v>12.5</v>
      </c>
      <c r="I336" t="n">
        <v>16</v>
      </c>
      <c r="J336" t="n">
        <v>21</v>
      </c>
      <c r="K336" t="n">
        <v>27.5</v>
      </c>
      <c r="L336" t="inlineStr">
        <is>
          <t>Ilford Kentmere 100 datasheet</t>
        </is>
      </c>
    </row>
    <row r="337">
      <c r="A337" t="inlineStr">
        <is>
          <t>Ilford Kentmere 100</t>
        </is>
      </c>
      <c r="B337" t="n">
        <v>100</v>
      </c>
      <c r="C337" t="inlineStr">
        <is>
          <t>Perceptol</t>
        </is>
      </c>
      <c r="D337" t="inlineStr">
        <is>
          <t>1+1</t>
        </is>
      </c>
      <c r="F337" t="n">
        <v>15.5</v>
      </c>
      <c r="I337" t="n">
        <v>20</v>
      </c>
      <c r="J337" t="n">
        <v>26</v>
      </c>
      <c r="K337" t="n">
        <v>34</v>
      </c>
      <c r="L337" t="inlineStr">
        <is>
          <t>Ilford Kentmere 100 datasheet</t>
        </is>
      </c>
    </row>
    <row r="338">
      <c r="A338" t="inlineStr">
        <is>
          <t>Ilford Kentmere 100</t>
        </is>
      </c>
      <c r="B338" t="n">
        <v>100</v>
      </c>
      <c r="C338" t="inlineStr">
        <is>
          <t>Ilfotec HC</t>
        </is>
      </c>
      <c r="D338" t="inlineStr">
        <is>
          <t>1+15 (Dil.A)</t>
        </is>
      </c>
      <c r="F338" t="n">
        <v>4</v>
      </c>
      <c r="I338" t="n">
        <v>5</v>
      </c>
      <c r="J338" t="n">
        <v>6.5</v>
      </c>
      <c r="K338" t="n">
        <v>8.5</v>
      </c>
      <c r="L338" t="inlineStr">
        <is>
          <t>Ilford Kentmere 100 datasheet</t>
        </is>
      </c>
    </row>
    <row r="339">
      <c r="A339" t="inlineStr">
        <is>
          <t>Ilford Kentmere 100</t>
        </is>
      </c>
      <c r="B339" t="n">
        <v>100</v>
      </c>
      <c r="C339" t="inlineStr">
        <is>
          <t>Ilfotec HC</t>
        </is>
      </c>
      <c r="D339" t="inlineStr">
        <is>
          <t>1+31 (Dil.B)</t>
        </is>
      </c>
      <c r="F339" t="n">
        <v>6.5</v>
      </c>
      <c r="I339" t="n">
        <v>8</v>
      </c>
      <c r="J339" t="n">
        <v>10.5</v>
      </c>
      <c r="K339" t="n">
        <v>13.5</v>
      </c>
      <c r="L339" t="inlineStr">
        <is>
          <t>Ilford Kentmere 100 datasheet</t>
        </is>
      </c>
    </row>
    <row r="340">
      <c r="A340" t="inlineStr">
        <is>
          <t>Ilford Kentmere 100</t>
        </is>
      </c>
      <c r="B340" t="n">
        <v>100</v>
      </c>
      <c r="C340" t="inlineStr">
        <is>
          <t>Ilfosol 3</t>
        </is>
      </c>
      <c r="D340" t="inlineStr">
        <is>
          <t>1+9</t>
        </is>
      </c>
      <c r="F340" t="n">
        <v>5</v>
      </c>
      <c r="I340" t="n">
        <v>6.5</v>
      </c>
      <c r="J340" t="n">
        <v>8.5</v>
      </c>
      <c r="K340" t="n">
        <v>11</v>
      </c>
      <c r="L340" t="inlineStr">
        <is>
          <t>Ilford Kentmere 100 datasheet</t>
        </is>
      </c>
    </row>
    <row r="341">
      <c r="A341" t="inlineStr">
        <is>
          <t>Ilford Kentmere 100</t>
        </is>
      </c>
      <c r="B341" t="n">
        <v>100</v>
      </c>
      <c r="C341" t="inlineStr">
        <is>
          <t>Ilfosol 3</t>
        </is>
      </c>
      <c r="D341" t="inlineStr">
        <is>
          <t>1+14</t>
        </is>
      </c>
      <c r="F341" t="n">
        <v>7.5</v>
      </c>
      <c r="I341" t="n">
        <v>10</v>
      </c>
      <c r="J341" t="n">
        <v>13</v>
      </c>
      <c r="K341" t="n">
        <v>17</v>
      </c>
      <c r="L341" t="inlineStr">
        <is>
          <t>Ilford Kentmere 100 datasheet</t>
        </is>
      </c>
    </row>
    <row r="342">
      <c r="A342" t="inlineStr">
        <is>
          <t>Ilford Kentmere 100</t>
        </is>
      </c>
      <c r="B342" t="n">
        <v>100</v>
      </c>
      <c r="C342" t="inlineStr">
        <is>
          <t>Ilfotec LC29</t>
        </is>
      </c>
      <c r="D342" t="inlineStr">
        <is>
          <t>1+9</t>
        </is>
      </c>
      <c r="F342" t="n">
        <v>4</v>
      </c>
      <c r="I342" t="n">
        <v>5</v>
      </c>
      <c r="J342" t="n">
        <v>6.5</v>
      </c>
      <c r="K342" t="n">
        <v>8.5</v>
      </c>
      <c r="L342" t="inlineStr">
        <is>
          <t>Ilford Kentmere 100 datasheet</t>
        </is>
      </c>
    </row>
    <row r="343">
      <c r="A343" t="inlineStr">
        <is>
          <t>Ilford Kentmere 100</t>
        </is>
      </c>
      <c r="B343" t="n">
        <v>100</v>
      </c>
      <c r="C343" t="inlineStr">
        <is>
          <t>Ilfotec LC29</t>
        </is>
      </c>
      <c r="D343" t="inlineStr">
        <is>
          <t>1+19</t>
        </is>
      </c>
      <c r="F343" t="n">
        <v>7</v>
      </c>
      <c r="I343" t="n">
        <v>8</v>
      </c>
      <c r="J343" t="n">
        <v>10.5</v>
      </c>
      <c r="K343" t="n">
        <v>13.5</v>
      </c>
      <c r="L343" t="inlineStr">
        <is>
          <t>Ilford Kentmere 100 datasheet</t>
        </is>
      </c>
    </row>
    <row r="344">
      <c r="A344" t="inlineStr">
        <is>
          <t>Ilford Kentmere 100</t>
        </is>
      </c>
      <c r="B344" t="n">
        <v>100</v>
      </c>
      <c r="C344" t="inlineStr">
        <is>
          <t>Ilfotec LC29</t>
        </is>
      </c>
      <c r="D344" t="inlineStr">
        <is>
          <t>1+29</t>
        </is>
      </c>
      <c r="F344" t="n">
        <v>11</v>
      </c>
      <c r="I344" t="n">
        <v>14.5</v>
      </c>
      <c r="J344" t="n">
        <v>19</v>
      </c>
      <c r="K344" t="n">
        <v>24.5</v>
      </c>
      <c r="L344" t="inlineStr">
        <is>
          <t>Ilford Kentmere 100 datasheet</t>
        </is>
      </c>
    </row>
    <row r="345">
      <c r="A345" t="inlineStr">
        <is>
          <t>Ilford Kentmere 100</t>
        </is>
      </c>
      <c r="B345" t="n">
        <v>100</v>
      </c>
      <c r="C345" t="inlineStr">
        <is>
          <t>D-76</t>
        </is>
      </c>
      <c r="D345" t="inlineStr">
        <is>
          <t>1+1</t>
        </is>
      </c>
      <c r="F345" t="n">
        <v>11.5</v>
      </c>
      <c r="I345" t="n">
        <v>15</v>
      </c>
      <c r="J345" t="n">
        <v>19.5</v>
      </c>
      <c r="K345" t="n">
        <v>25.5</v>
      </c>
      <c r="L345" t="inlineStr">
        <is>
          <t>Ilford Kentmere 100 datasheet</t>
        </is>
      </c>
    </row>
    <row r="346">
      <c r="A346" t="inlineStr">
        <is>
          <t>Ilford Kentmere 100</t>
        </is>
      </c>
      <c r="B346" t="n">
        <v>100</v>
      </c>
      <c r="C346" t="inlineStr">
        <is>
          <t>D-76</t>
        </is>
      </c>
      <c r="D346" t="inlineStr">
        <is>
          <t>1+3</t>
        </is>
      </c>
      <c r="F346" t="n">
        <v>21</v>
      </c>
      <c r="I346" t="n">
        <v>27.5</v>
      </c>
      <c r="J346" t="n">
        <v>36</v>
      </c>
      <c r="K346" t="n">
        <v>47</v>
      </c>
      <c r="L346" t="inlineStr">
        <is>
          <t>Ilford Kentmere 100 datasheet</t>
        </is>
      </c>
    </row>
    <row r="347">
      <c r="A347" t="inlineStr">
        <is>
          <t>Ilford Kentmere 400</t>
        </is>
      </c>
      <c r="B347" t="n">
        <v>400</v>
      </c>
      <c r="C347" t="inlineStr">
        <is>
          <t>Microphen</t>
        </is>
      </c>
      <c r="D347" t="inlineStr">
        <is>
          <t>Stock</t>
        </is>
      </c>
      <c r="F347" t="n">
        <v>8</v>
      </c>
      <c r="I347" t="n">
        <v>10</v>
      </c>
      <c r="J347" t="n">
        <v>13</v>
      </c>
      <c r="K347" t="n">
        <v>17</v>
      </c>
      <c r="L347" t="inlineStr">
        <is>
          <t>Ilford Kentmere 400 datasheet</t>
        </is>
      </c>
    </row>
    <row r="348">
      <c r="A348" t="inlineStr">
        <is>
          <t>Ilford Kentmere 400</t>
        </is>
      </c>
      <c r="B348" t="n">
        <v>400</v>
      </c>
      <c r="C348" t="inlineStr">
        <is>
          <t>Microphen</t>
        </is>
      </c>
      <c r="D348" t="inlineStr">
        <is>
          <t>1+1</t>
        </is>
      </c>
      <c r="F348" t="n">
        <v>15</v>
      </c>
      <c r="I348" t="n">
        <v>19</v>
      </c>
      <c r="J348" t="n">
        <v>24.5</v>
      </c>
      <c r="K348" t="n">
        <v>32</v>
      </c>
      <c r="L348" t="inlineStr">
        <is>
          <t>Ilford Kentmere 400 datasheet</t>
        </is>
      </c>
    </row>
    <row r="349">
      <c r="A349" t="inlineStr">
        <is>
          <t>Ilford Kentmere 400</t>
        </is>
      </c>
      <c r="B349" t="n">
        <v>400</v>
      </c>
      <c r="C349" t="inlineStr">
        <is>
          <t>Perceptol</t>
        </is>
      </c>
      <c r="D349" t="inlineStr">
        <is>
          <t>1+1</t>
        </is>
      </c>
      <c r="F349" t="n">
        <v>23</v>
      </c>
      <c r="I349" t="n">
        <v>30</v>
      </c>
      <c r="J349" t="n">
        <v>39</v>
      </c>
      <c r="K349" t="n">
        <v>50.5</v>
      </c>
      <c r="L349" t="inlineStr">
        <is>
          <t>Ilford Kentmere 400 datasheet</t>
        </is>
      </c>
    </row>
    <row r="350">
      <c r="A350" t="inlineStr">
        <is>
          <t>Ilford Kentmere 400</t>
        </is>
      </c>
      <c r="B350" t="n">
        <v>400</v>
      </c>
      <c r="C350" t="inlineStr">
        <is>
          <t>Ilfotec HC</t>
        </is>
      </c>
      <c r="D350" t="inlineStr">
        <is>
          <t>1+15 (Dil.A)</t>
        </is>
      </c>
      <c r="F350" t="n">
        <v>4.5</v>
      </c>
      <c r="I350" t="n">
        <v>6.5</v>
      </c>
      <c r="J350" t="n">
        <v>8.5</v>
      </c>
      <c r="K350" t="n">
        <v>11</v>
      </c>
      <c r="L350" t="inlineStr">
        <is>
          <t>Ilford Kentmere 400 datasheet</t>
        </is>
      </c>
    </row>
    <row r="351">
      <c r="A351" t="inlineStr">
        <is>
          <t>Ilford Kentmere 400</t>
        </is>
      </c>
      <c r="B351" t="n">
        <v>400</v>
      </c>
      <c r="C351" t="inlineStr">
        <is>
          <t>Ilfotec HC</t>
        </is>
      </c>
      <c r="D351" t="inlineStr">
        <is>
          <t>1+31 (Dil.B)</t>
        </is>
      </c>
      <c r="F351" t="n">
        <v>8</v>
      </c>
      <c r="I351" t="n">
        <v>12.5</v>
      </c>
      <c r="J351" t="n">
        <v>16</v>
      </c>
      <c r="K351" t="n">
        <v>21</v>
      </c>
      <c r="L351" t="inlineStr">
        <is>
          <t>Ilford Kentmere 400 datasheet</t>
        </is>
      </c>
    </row>
    <row r="352">
      <c r="A352" t="inlineStr">
        <is>
          <t>Ilford Kentmere 400</t>
        </is>
      </c>
      <c r="B352" t="n">
        <v>400</v>
      </c>
      <c r="C352" t="inlineStr">
        <is>
          <t>Ilfosol 3</t>
        </is>
      </c>
      <c r="D352" t="inlineStr">
        <is>
          <t>1+9</t>
        </is>
      </c>
      <c r="F352" t="n">
        <v>6.5</v>
      </c>
      <c r="I352" t="n">
        <v>15</v>
      </c>
      <c r="J352" t="n">
        <v>19.5</v>
      </c>
      <c r="K352" t="n">
        <v>25.5</v>
      </c>
      <c r="L352" t="inlineStr">
        <is>
          <t>Ilford Kentmere 400 datasheet</t>
        </is>
      </c>
    </row>
    <row r="353">
      <c r="A353" t="inlineStr">
        <is>
          <t>Ilford Kentmere 400</t>
        </is>
      </c>
      <c r="B353" t="n">
        <v>400</v>
      </c>
      <c r="C353" t="inlineStr">
        <is>
          <t>Ilfosol 3</t>
        </is>
      </c>
      <c r="D353" t="inlineStr">
        <is>
          <t>1+14</t>
        </is>
      </c>
      <c r="F353" t="n">
        <v>11</v>
      </c>
      <c r="I353" t="n">
        <v>25</v>
      </c>
      <c r="J353" t="n">
        <v>32.5</v>
      </c>
      <c r="K353" t="n">
        <v>42</v>
      </c>
      <c r="L353" t="inlineStr">
        <is>
          <t>Ilford Kentmere 400 datasheet</t>
        </is>
      </c>
    </row>
    <row r="354">
      <c r="A354" t="inlineStr">
        <is>
          <t>Ilford Kentmere 400</t>
        </is>
      </c>
      <c r="B354" t="n">
        <v>400</v>
      </c>
      <c r="C354" t="inlineStr">
        <is>
          <t>Ilfotec LC29</t>
        </is>
      </c>
      <c r="D354" t="inlineStr">
        <is>
          <t>1+9</t>
        </is>
      </c>
      <c r="F354" t="n">
        <v>4.5</v>
      </c>
      <c r="I354" t="n">
        <v>6.5</v>
      </c>
      <c r="J354" t="n">
        <v>8.5</v>
      </c>
      <c r="K354" t="n">
        <v>11</v>
      </c>
      <c r="L354" t="inlineStr">
        <is>
          <t>Ilford Kentmere 400 datasheet</t>
        </is>
      </c>
    </row>
    <row r="355">
      <c r="A355" t="inlineStr">
        <is>
          <t>Ilford Kentmere 400</t>
        </is>
      </c>
      <c r="B355" t="n">
        <v>400</v>
      </c>
      <c r="C355" t="inlineStr">
        <is>
          <t>Ilfotec LC29</t>
        </is>
      </c>
      <c r="D355" t="inlineStr">
        <is>
          <t>1+19</t>
        </is>
      </c>
      <c r="F355" t="n">
        <v>8</v>
      </c>
      <c r="I355" t="n">
        <v>12.5</v>
      </c>
      <c r="J355" t="n">
        <v>16</v>
      </c>
      <c r="K355" t="n">
        <v>21</v>
      </c>
      <c r="L355" t="inlineStr">
        <is>
          <t>Ilford Kentmere 400 datasheet</t>
        </is>
      </c>
    </row>
    <row r="356">
      <c r="A356" t="inlineStr">
        <is>
          <t>Ilford Kentmere 400</t>
        </is>
      </c>
      <c r="B356" t="n">
        <v>400</v>
      </c>
      <c r="C356" t="inlineStr">
        <is>
          <t>Ilfotec LC29</t>
        </is>
      </c>
      <c r="D356" t="inlineStr">
        <is>
          <t>1+29</t>
        </is>
      </c>
      <c r="F356" t="n">
        <v>11</v>
      </c>
      <c r="I356" t="n">
        <v>14.5</v>
      </c>
      <c r="J356" t="n">
        <v>19</v>
      </c>
      <c r="K356" t="n">
        <v>24.5</v>
      </c>
      <c r="L356" t="inlineStr">
        <is>
          <t>Ilford Kentmere 400 datasheet</t>
        </is>
      </c>
    </row>
    <row r="357">
      <c r="A357" t="inlineStr">
        <is>
          <t>Ilford Kentmere 400</t>
        </is>
      </c>
      <c r="B357" t="n">
        <v>400</v>
      </c>
      <c r="C357" t="inlineStr">
        <is>
          <t>ID-11</t>
        </is>
      </c>
      <c r="D357" t="inlineStr">
        <is>
          <t>1+3</t>
        </is>
      </c>
      <c r="F357" t="n">
        <v>25.5</v>
      </c>
      <c r="I357" t="n">
        <v>33</v>
      </c>
      <c r="J357" t="n">
        <v>43</v>
      </c>
      <c r="K357" t="n">
        <v>56</v>
      </c>
      <c r="L357" t="inlineStr">
        <is>
          <t>Ilford Kentmere 400 datasheet</t>
        </is>
      </c>
    </row>
    <row r="358">
      <c r="A358" t="inlineStr">
        <is>
          <t>Ilford Kentmere 400</t>
        </is>
      </c>
      <c r="B358" t="n">
        <v>400</v>
      </c>
      <c r="C358" t="inlineStr">
        <is>
          <t>D-76</t>
        </is>
      </c>
      <c r="D358" t="inlineStr">
        <is>
          <t>Stock</t>
        </is>
      </c>
      <c r="F358" t="n">
        <v>9.5</v>
      </c>
      <c r="I358" t="n">
        <v>12.5</v>
      </c>
      <c r="J358" t="n">
        <v>16</v>
      </c>
      <c r="K358" t="n">
        <v>21</v>
      </c>
      <c r="L358" t="inlineStr">
        <is>
          <t>Ilford Kentmere 400 datasheet</t>
        </is>
      </c>
    </row>
    <row r="359">
      <c r="A359" t="inlineStr">
        <is>
          <t>Ilford Kentmere 400</t>
        </is>
      </c>
      <c r="B359" t="n">
        <v>400</v>
      </c>
      <c r="C359" t="inlineStr">
        <is>
          <t>D-76</t>
        </is>
      </c>
      <c r="D359" t="inlineStr">
        <is>
          <t>1+1</t>
        </is>
      </c>
      <c r="F359" t="n">
        <v>14</v>
      </c>
      <c r="I359" t="n">
        <v>17</v>
      </c>
      <c r="J359" t="n">
        <v>22</v>
      </c>
      <c r="K359" t="n">
        <v>28.5</v>
      </c>
      <c r="L359" t="inlineStr">
        <is>
          <t>Ilford Kentmere 400 datasheet</t>
        </is>
      </c>
    </row>
    <row r="360">
      <c r="A360" t="inlineStr">
        <is>
          <t>Ilford Kentmere 400</t>
        </is>
      </c>
      <c r="B360" t="n">
        <v>400</v>
      </c>
      <c r="C360" t="inlineStr">
        <is>
          <t>D-76</t>
        </is>
      </c>
      <c r="D360" t="inlineStr">
        <is>
          <t>1+3</t>
        </is>
      </c>
      <c r="F360" t="n">
        <v>28</v>
      </c>
      <c r="I360" t="n">
        <v>36.5</v>
      </c>
      <c r="J360" t="n">
        <v>47.5</v>
      </c>
      <c r="K360" t="n">
        <v>62</v>
      </c>
      <c r="L360" t="inlineStr">
        <is>
          <t>Ilford Kentmere 400 datasheet</t>
        </is>
      </c>
    </row>
    <row r="361">
      <c r="A361" t="inlineStr">
        <is>
          <t>Rollei RPX 100</t>
        </is>
      </c>
      <c r="B361" t="n">
        <v>100</v>
      </c>
      <c r="C361" t="inlineStr">
        <is>
          <t>ID-11</t>
        </is>
      </c>
      <c r="D361" t="inlineStr">
        <is>
          <t>Stock</t>
        </is>
      </c>
      <c r="F361" t="n">
        <v>8</v>
      </c>
      <c r="I361" t="n">
        <v>10.5</v>
      </c>
      <c r="J361" t="n">
        <v>13.5</v>
      </c>
      <c r="K361" t="n">
        <v>17.5</v>
      </c>
      <c r="L361" t="inlineStr">
        <is>
          <t>Rollei/MACO datasheet 2021</t>
        </is>
      </c>
    </row>
    <row r="362">
      <c r="A362" t="inlineStr">
        <is>
          <t>Rollei RPX 100</t>
        </is>
      </c>
      <c r="B362" t="n">
        <v>100</v>
      </c>
      <c r="C362" t="inlineStr">
        <is>
          <t>ID-11</t>
        </is>
      </c>
      <c r="D362" t="inlineStr">
        <is>
          <t>1+1</t>
        </is>
      </c>
      <c r="F362" t="n">
        <v>11</v>
      </c>
      <c r="I362" t="n">
        <v>14.5</v>
      </c>
      <c r="J362" t="n">
        <v>19</v>
      </c>
      <c r="K362" t="n">
        <v>24.5</v>
      </c>
      <c r="L362" t="inlineStr">
        <is>
          <t>Rollei/MACO datasheet 2021</t>
        </is>
      </c>
    </row>
    <row r="363">
      <c r="A363" t="inlineStr">
        <is>
          <t>Rollei RPX 100</t>
        </is>
      </c>
      <c r="B363" t="n">
        <v>100</v>
      </c>
      <c r="C363" t="inlineStr">
        <is>
          <t>Microphen</t>
        </is>
      </c>
      <c r="D363" t="inlineStr">
        <is>
          <t>Stock</t>
        </is>
      </c>
      <c r="F363" t="n">
        <v>6</v>
      </c>
      <c r="I363" t="n">
        <v>8</v>
      </c>
      <c r="J363" t="n">
        <v>10.5</v>
      </c>
      <c r="K363" t="n">
        <v>13.5</v>
      </c>
      <c r="L363" t="inlineStr">
        <is>
          <t>Rollei/MACO datasheet 2021</t>
        </is>
      </c>
    </row>
    <row r="364">
      <c r="A364" t="inlineStr">
        <is>
          <t>Rollei RPX 100</t>
        </is>
      </c>
      <c r="B364" t="n">
        <v>100</v>
      </c>
      <c r="C364" t="inlineStr">
        <is>
          <t>Microphen</t>
        </is>
      </c>
      <c r="D364" t="inlineStr">
        <is>
          <t>1+1</t>
        </is>
      </c>
      <c r="F364" t="n">
        <v>9</v>
      </c>
      <c r="I364" t="n">
        <v>11.5</v>
      </c>
      <c r="J364" t="n">
        <v>15</v>
      </c>
      <c r="K364" t="n">
        <v>19.5</v>
      </c>
      <c r="L364" t="inlineStr">
        <is>
          <t>Rollei/MACO datasheet 2021</t>
        </is>
      </c>
    </row>
    <row r="365">
      <c r="A365" t="inlineStr">
        <is>
          <t>Rollei RPX 100</t>
        </is>
      </c>
      <c r="B365" t="n">
        <v>100</v>
      </c>
      <c r="C365" t="inlineStr">
        <is>
          <t>Ilfotec DD-X</t>
        </is>
      </c>
      <c r="D365" t="inlineStr">
        <is>
          <t>1+4</t>
        </is>
      </c>
      <c r="F365" t="n">
        <v>9</v>
      </c>
      <c r="I365" t="n">
        <v>11.5</v>
      </c>
      <c r="J365" t="n">
        <v>15</v>
      </c>
      <c r="K365" t="n">
        <v>19.5</v>
      </c>
      <c r="L365" t="inlineStr">
        <is>
          <t>Rollei/MACO datasheet 2021</t>
        </is>
      </c>
    </row>
    <row r="366">
      <c r="A366" t="inlineStr">
        <is>
          <t>Rollei RPX 100</t>
        </is>
      </c>
      <c r="B366" t="n">
        <v>100</v>
      </c>
      <c r="C366" t="inlineStr">
        <is>
          <t>Ilfosol 3</t>
        </is>
      </c>
      <c r="D366" t="inlineStr">
        <is>
          <t>1+9</t>
        </is>
      </c>
      <c r="F366" t="n">
        <v>5.5</v>
      </c>
      <c r="I366" t="n">
        <v>7</v>
      </c>
      <c r="J366" t="n">
        <v>9</v>
      </c>
      <c r="K366" t="n">
        <v>11.5</v>
      </c>
      <c r="L366" t="inlineStr">
        <is>
          <t>Rollei/MACO datasheet 2021</t>
        </is>
      </c>
    </row>
    <row r="367">
      <c r="A367" t="inlineStr">
        <is>
          <t>Rollei RPX 100</t>
        </is>
      </c>
      <c r="B367" t="n">
        <v>100</v>
      </c>
      <c r="C367" t="inlineStr">
        <is>
          <t>Ilfotec LC29</t>
        </is>
      </c>
      <c r="D367" t="inlineStr">
        <is>
          <t>1+19</t>
        </is>
      </c>
      <c r="F367" t="n">
        <v>5.5</v>
      </c>
      <c r="I367" t="n">
        <v>7</v>
      </c>
      <c r="J367" t="n">
        <v>9</v>
      </c>
      <c r="K367" t="n">
        <v>11.5</v>
      </c>
      <c r="L367" t="inlineStr">
        <is>
          <t>Rollei/MACO datasheet 2021</t>
        </is>
      </c>
    </row>
    <row r="368">
      <c r="A368" t="inlineStr">
        <is>
          <t>Rollei RPX 100</t>
        </is>
      </c>
      <c r="B368" t="n">
        <v>100</v>
      </c>
      <c r="C368" t="inlineStr">
        <is>
          <t>Perceptol</t>
        </is>
      </c>
      <c r="D368" t="inlineStr">
        <is>
          <t>Stock</t>
        </is>
      </c>
      <c r="F368" t="n">
        <v>10</v>
      </c>
      <c r="I368" t="n">
        <v>13</v>
      </c>
      <c r="J368" t="n">
        <v>17</v>
      </c>
      <c r="K368" t="n">
        <v>22</v>
      </c>
      <c r="L368" t="inlineStr">
        <is>
          <t>Rollei/MACO datasheet 2021</t>
        </is>
      </c>
    </row>
    <row r="369">
      <c r="A369" t="inlineStr">
        <is>
          <t>Rollei RPX 100</t>
        </is>
      </c>
      <c r="B369" t="n">
        <v>100</v>
      </c>
      <c r="C369" t="inlineStr">
        <is>
          <t>Perceptol</t>
        </is>
      </c>
      <c r="D369" t="inlineStr">
        <is>
          <t>1+1</t>
        </is>
      </c>
      <c r="F369" t="n">
        <v>14</v>
      </c>
      <c r="I369" t="n">
        <v>18</v>
      </c>
      <c r="J369" t="n">
        <v>23.5</v>
      </c>
      <c r="K369" t="n">
        <v>30.5</v>
      </c>
      <c r="L369" t="inlineStr">
        <is>
          <t>Rollei/MACO datasheet 2021</t>
        </is>
      </c>
    </row>
    <row r="370">
      <c r="A370" t="inlineStr">
        <is>
          <t>Rollei RPX 100</t>
        </is>
      </c>
      <c r="B370" t="n">
        <v>100</v>
      </c>
      <c r="C370" t="inlineStr">
        <is>
          <t>XTOL</t>
        </is>
      </c>
      <c r="D370" t="inlineStr">
        <is>
          <t>Stock</t>
        </is>
      </c>
      <c r="F370" t="n">
        <v>7</v>
      </c>
      <c r="I370" t="n">
        <v>9</v>
      </c>
      <c r="J370" t="n">
        <v>11.5</v>
      </c>
      <c r="K370" t="n">
        <v>15</v>
      </c>
      <c r="L370" t="inlineStr">
        <is>
          <t>Rollei/MACO datasheet 2021</t>
        </is>
      </c>
    </row>
    <row r="371">
      <c r="A371" t="inlineStr">
        <is>
          <t>Rollei RPX 100</t>
        </is>
      </c>
      <c r="B371" t="n">
        <v>100</v>
      </c>
      <c r="C371" t="inlineStr">
        <is>
          <t>XTOL</t>
        </is>
      </c>
      <c r="D371" t="inlineStr">
        <is>
          <t>1+1</t>
        </is>
      </c>
      <c r="F371" t="n">
        <v>9.5</v>
      </c>
      <c r="I371" t="n">
        <v>12.5</v>
      </c>
      <c r="J371" t="n">
        <v>16</v>
      </c>
      <c r="K371" t="n">
        <v>21</v>
      </c>
      <c r="L371" t="inlineStr">
        <is>
          <t>Rollei/MACO datasheet 2021</t>
        </is>
      </c>
    </row>
    <row r="372">
      <c r="A372" t="inlineStr">
        <is>
          <t>Rollei RPX 400</t>
        </is>
      </c>
      <c r="B372" t="n">
        <v>400</v>
      </c>
      <c r="C372" t="inlineStr">
        <is>
          <t>ID-11</t>
        </is>
      </c>
      <c r="D372" t="inlineStr">
        <is>
          <t>Stock</t>
        </is>
      </c>
      <c r="F372" t="n">
        <v>8</v>
      </c>
      <c r="I372" t="n">
        <v>11</v>
      </c>
      <c r="J372" t="n">
        <v>14.5</v>
      </c>
      <c r="K372" t="n">
        <v>19</v>
      </c>
      <c r="L372" t="inlineStr">
        <is>
          <t>Rollei/MACO datasheet 2021</t>
        </is>
      </c>
    </row>
    <row r="373">
      <c r="A373" t="inlineStr">
        <is>
          <t>Rollei RPX 400</t>
        </is>
      </c>
      <c r="B373" t="n">
        <v>400</v>
      </c>
      <c r="C373" t="inlineStr">
        <is>
          <t>ID-11</t>
        </is>
      </c>
      <c r="D373" t="inlineStr">
        <is>
          <t>1+1</t>
        </is>
      </c>
      <c r="F373" t="n">
        <v>14</v>
      </c>
      <c r="I373" t="n">
        <v>18</v>
      </c>
      <c r="J373" t="n">
        <v>23.5</v>
      </c>
      <c r="K373" t="n">
        <v>30.5</v>
      </c>
      <c r="L373" t="inlineStr">
        <is>
          <t>Rollei/MACO datasheet 2021</t>
        </is>
      </c>
    </row>
    <row r="374">
      <c r="A374" t="inlineStr">
        <is>
          <t>Rollei RPX 400</t>
        </is>
      </c>
      <c r="B374" t="n">
        <v>400</v>
      </c>
      <c r="C374" t="inlineStr">
        <is>
          <t>ID-11</t>
        </is>
      </c>
      <c r="D374" t="inlineStr">
        <is>
          <t>1+3</t>
        </is>
      </c>
      <c r="F374" t="n">
        <v>25.5</v>
      </c>
      <c r="I374" t="n">
        <v>33</v>
      </c>
      <c r="J374" t="n">
        <v>43</v>
      </c>
      <c r="K374" t="n">
        <v>56</v>
      </c>
      <c r="L374" t="inlineStr">
        <is>
          <t>Rollei/MACO datasheet 2021</t>
        </is>
      </c>
    </row>
    <row r="375">
      <c r="A375" t="inlineStr">
        <is>
          <t>Rollei RPX 400</t>
        </is>
      </c>
      <c r="B375" t="n">
        <v>400</v>
      </c>
      <c r="C375" t="inlineStr">
        <is>
          <t>Microphen</t>
        </is>
      </c>
      <c r="D375" t="inlineStr">
        <is>
          <t>Stock</t>
        </is>
      </c>
      <c r="F375" t="n">
        <v>7</v>
      </c>
      <c r="I375" t="n">
        <v>10</v>
      </c>
      <c r="J375" t="n">
        <v>13</v>
      </c>
      <c r="K375" t="n">
        <v>17</v>
      </c>
      <c r="L375" t="inlineStr">
        <is>
          <t>Rollei/MACO datasheet 2021</t>
        </is>
      </c>
    </row>
    <row r="376">
      <c r="A376" t="inlineStr">
        <is>
          <t>Rollei RPX 400</t>
        </is>
      </c>
      <c r="B376" t="n">
        <v>400</v>
      </c>
      <c r="C376" t="inlineStr">
        <is>
          <t>Microphen</t>
        </is>
      </c>
      <c r="D376" t="inlineStr">
        <is>
          <t>1+1</t>
        </is>
      </c>
      <c r="F376" t="n">
        <v>13</v>
      </c>
      <c r="I376" t="n">
        <v>16</v>
      </c>
      <c r="J376" t="n">
        <v>21</v>
      </c>
      <c r="K376" t="n">
        <v>27.5</v>
      </c>
      <c r="L376" t="inlineStr">
        <is>
          <t>Rollei/MACO datasheet 2021</t>
        </is>
      </c>
    </row>
    <row r="377">
      <c r="A377" t="inlineStr">
        <is>
          <t>Rollei RPX 400</t>
        </is>
      </c>
      <c r="B377" t="n">
        <v>400</v>
      </c>
      <c r="C377" t="inlineStr">
        <is>
          <t>Ilfotec DD-X</t>
        </is>
      </c>
      <c r="D377" t="inlineStr">
        <is>
          <t>1+4</t>
        </is>
      </c>
      <c r="F377" t="n">
        <v>10</v>
      </c>
      <c r="I377" t="n">
        <v>12</v>
      </c>
      <c r="J377" t="n">
        <v>15.5</v>
      </c>
      <c r="K377" t="n">
        <v>20</v>
      </c>
      <c r="L377" t="inlineStr">
        <is>
          <t>Rollei/MACO datasheet 2021</t>
        </is>
      </c>
    </row>
    <row r="378">
      <c r="A378" t="inlineStr">
        <is>
          <t>Rollei RPX 400</t>
        </is>
      </c>
      <c r="B378" t="n">
        <v>400</v>
      </c>
      <c r="C378" t="inlineStr">
        <is>
          <t>Ilfosol 3</t>
        </is>
      </c>
      <c r="D378" t="inlineStr">
        <is>
          <t>1+9</t>
        </is>
      </c>
      <c r="F378" t="n">
        <v>6.5</v>
      </c>
      <c r="I378" t="n">
        <v>15</v>
      </c>
      <c r="J378" t="n">
        <v>19.5</v>
      </c>
      <c r="K378" t="n">
        <v>25.5</v>
      </c>
      <c r="L378" t="inlineStr">
        <is>
          <t>Rollei/MACO datasheet 2021</t>
        </is>
      </c>
    </row>
    <row r="379">
      <c r="A379" t="inlineStr">
        <is>
          <t>Rollei RPX 400</t>
        </is>
      </c>
      <c r="B379" t="n">
        <v>400</v>
      </c>
      <c r="C379" t="inlineStr">
        <is>
          <t>Ilfosol 3</t>
        </is>
      </c>
      <c r="D379" t="inlineStr">
        <is>
          <t>1+14</t>
        </is>
      </c>
      <c r="F379" t="n">
        <v>11</v>
      </c>
      <c r="I379" t="n">
        <v>25</v>
      </c>
      <c r="J379" t="n">
        <v>32.5</v>
      </c>
      <c r="K379" t="n">
        <v>42</v>
      </c>
      <c r="L379" t="inlineStr">
        <is>
          <t>Rollei/MACO datasheet 2021</t>
        </is>
      </c>
    </row>
    <row r="380">
      <c r="A380" t="inlineStr">
        <is>
          <t>Rollei RPX 400</t>
        </is>
      </c>
      <c r="B380" t="n">
        <v>400</v>
      </c>
      <c r="C380" t="inlineStr">
        <is>
          <t>Ilfotec LC29</t>
        </is>
      </c>
      <c r="D380" t="inlineStr">
        <is>
          <t>1+9</t>
        </is>
      </c>
      <c r="F380" t="n">
        <v>4.5</v>
      </c>
      <c r="I380" t="n">
        <v>6.5</v>
      </c>
      <c r="J380" t="n">
        <v>8.5</v>
      </c>
      <c r="K380" t="n">
        <v>11</v>
      </c>
      <c r="L380" t="inlineStr">
        <is>
          <t>Rollei/MACO datasheet 2021</t>
        </is>
      </c>
    </row>
    <row r="381">
      <c r="A381" t="inlineStr">
        <is>
          <t>Rollei RPX 400</t>
        </is>
      </c>
      <c r="B381" t="n">
        <v>400</v>
      </c>
      <c r="C381" t="inlineStr">
        <is>
          <t>Ilfotec LC29</t>
        </is>
      </c>
      <c r="D381" t="inlineStr">
        <is>
          <t>1+19</t>
        </is>
      </c>
      <c r="F381" t="n">
        <v>8</v>
      </c>
      <c r="I381" t="n">
        <v>12.5</v>
      </c>
      <c r="J381" t="n">
        <v>16</v>
      </c>
      <c r="K381" t="n">
        <v>21</v>
      </c>
      <c r="L381" t="inlineStr">
        <is>
          <t>Rollei/MACO datasheet 2021</t>
        </is>
      </c>
    </row>
    <row r="382">
      <c r="A382" t="inlineStr">
        <is>
          <t>Rollei RPX 400</t>
        </is>
      </c>
      <c r="B382" t="n">
        <v>400</v>
      </c>
      <c r="C382" t="inlineStr">
        <is>
          <t>Perceptol</t>
        </is>
      </c>
      <c r="D382" t="inlineStr">
        <is>
          <t>1+1</t>
        </is>
      </c>
      <c r="F382" t="n">
        <v>20</v>
      </c>
      <c r="I382" t="n">
        <v>26</v>
      </c>
      <c r="J382" t="n">
        <v>34</v>
      </c>
      <c r="K382" t="n">
        <v>44</v>
      </c>
      <c r="L382" t="inlineStr">
        <is>
          <t>Rollei/MACO datasheet 2021</t>
        </is>
      </c>
    </row>
    <row r="383">
      <c r="A383" t="inlineStr">
        <is>
          <t>Rollei RPX 400</t>
        </is>
      </c>
      <c r="B383" t="n">
        <v>400</v>
      </c>
      <c r="C383" t="inlineStr">
        <is>
          <t>XTOL</t>
        </is>
      </c>
      <c r="D383" t="inlineStr">
        <is>
          <t>Stock</t>
        </is>
      </c>
      <c r="F383" t="n">
        <v>8</v>
      </c>
      <c r="I383" t="n">
        <v>11</v>
      </c>
      <c r="J383" t="n">
        <v>14.5</v>
      </c>
      <c r="K383" t="n">
        <v>19</v>
      </c>
      <c r="L383" t="inlineStr">
        <is>
          <t>Rollei/MACO datasheet 2021</t>
        </is>
      </c>
    </row>
    <row r="384">
      <c r="A384" t="inlineStr">
        <is>
          <t>Rollei RPX 400</t>
        </is>
      </c>
      <c r="B384" t="n">
        <v>400</v>
      </c>
      <c r="C384" t="inlineStr">
        <is>
          <t>XTOL</t>
        </is>
      </c>
      <c r="D384" t="inlineStr">
        <is>
          <t>1+1</t>
        </is>
      </c>
      <c r="F384" t="n">
        <v>12</v>
      </c>
      <c r="I384" t="n">
        <v>15</v>
      </c>
      <c r="J384" t="n">
        <v>19.5</v>
      </c>
      <c r="K384" t="n">
        <v>25.5</v>
      </c>
      <c r="L384" t="inlineStr">
        <is>
          <t>Rollei/MACO datasheet 2021</t>
        </is>
      </c>
    </row>
    <row r="385">
      <c r="A385" t="inlineStr">
        <is>
          <t>Lomo Lady Grey 400</t>
        </is>
      </c>
      <c r="B385" t="n">
        <v>400</v>
      </c>
      <c r="C385" t="inlineStr">
        <is>
          <t>D-23</t>
        </is>
      </c>
      <c r="D385" t="inlineStr">
        <is>
          <t>Stock</t>
        </is>
      </c>
      <c r="F385" t="n">
        <v>7</v>
      </c>
      <c r="I385" t="n">
        <v>9</v>
      </c>
      <c r="J385" t="n">
        <v>11.5</v>
      </c>
      <c r="K385" t="n">
        <v>15</v>
      </c>
      <c r="L385" t="inlineStr">
        <is>
          <t>Lomography oficial Lady Grey</t>
        </is>
      </c>
    </row>
    <row r="386">
      <c r="A386" t="inlineStr">
        <is>
          <t>Lomo Lady Grey 400</t>
        </is>
      </c>
      <c r="B386" t="n">
        <v>400</v>
      </c>
      <c r="C386" t="inlineStr">
        <is>
          <t>D-23</t>
        </is>
      </c>
      <c r="D386" t="inlineStr">
        <is>
          <t>1+1</t>
        </is>
      </c>
      <c r="F386" t="n">
        <v>10</v>
      </c>
      <c r="I386" t="n">
        <v>13</v>
      </c>
      <c r="J386" t="n">
        <v>17</v>
      </c>
      <c r="K386" t="n">
        <v>22</v>
      </c>
      <c r="L386" t="inlineStr">
        <is>
          <t>Lomography oficial Lady Grey</t>
        </is>
      </c>
    </row>
    <row r="387">
      <c r="A387" t="inlineStr">
        <is>
          <t>Ilford HP5 Plus</t>
        </is>
      </c>
      <c r="B387" t="n">
        <v>400</v>
      </c>
      <c r="C387" t="inlineStr">
        <is>
          <t>D-76</t>
        </is>
      </c>
      <c r="D387" t="inlineStr">
        <is>
          <t>Stock</t>
        </is>
      </c>
      <c r="F387" t="n">
        <v>6.5</v>
      </c>
      <c r="I387" t="n">
        <v>8.5</v>
      </c>
      <c r="J387" t="n">
        <v>11</v>
      </c>
      <c r="K387" t="n">
        <v>14.5</v>
      </c>
      <c r="L387" t="inlineStr">
        <is>
          <t>Ilford chart (=ID-11)</t>
        </is>
      </c>
    </row>
    <row r="388">
      <c r="A388" t="inlineStr">
        <is>
          <t>Ilford HP5 Plus</t>
        </is>
      </c>
      <c r="B388" t="n">
        <v>400</v>
      </c>
      <c r="C388" t="inlineStr">
        <is>
          <t>D-76</t>
        </is>
      </c>
      <c r="D388" t="inlineStr">
        <is>
          <t>1+1</t>
        </is>
      </c>
      <c r="F388" t="n">
        <v>9.5</v>
      </c>
      <c r="I388" t="n">
        <v>12</v>
      </c>
      <c r="J388" t="n">
        <v>15.5</v>
      </c>
      <c r="K388" t="n">
        <v>20</v>
      </c>
      <c r="L388" t="inlineStr">
        <is>
          <t>Ilford chart (=ID-11)</t>
        </is>
      </c>
    </row>
    <row r="389">
      <c r="A389" t="inlineStr">
        <is>
          <t>Ilford HP5 Plus</t>
        </is>
      </c>
      <c r="B389" t="n">
        <v>400</v>
      </c>
      <c r="C389" t="inlineStr">
        <is>
          <t>D-76</t>
        </is>
      </c>
      <c r="D389" t="inlineStr">
        <is>
          <t>1+3</t>
        </is>
      </c>
      <c r="F389" t="n">
        <v>14</v>
      </c>
      <c r="I389" t="n">
        <v>18</v>
      </c>
      <c r="J389" t="n">
        <v>23.5</v>
      </c>
      <c r="K389" t="n">
        <v>30.5</v>
      </c>
      <c r="L389" t="inlineStr">
        <is>
          <t>Ilford chart (=ID-11)</t>
        </is>
      </c>
    </row>
    <row r="390">
      <c r="A390" t="inlineStr">
        <is>
          <t>Ilford HP5 Plus</t>
        </is>
      </c>
      <c r="B390" t="n">
        <v>400</v>
      </c>
      <c r="C390" t="inlineStr">
        <is>
          <t>HC-110</t>
        </is>
      </c>
      <c r="D390" t="inlineStr">
        <is>
          <t>Dil. B (1+31)</t>
        </is>
      </c>
      <c r="F390" t="n">
        <v>8</v>
      </c>
      <c r="I390" t="n">
        <v>10.5</v>
      </c>
      <c r="J390" t="n">
        <v>14</v>
      </c>
      <c r="K390" t="n">
        <v>18</v>
      </c>
      <c r="L390" t="inlineStr">
        <is>
          <t>Ilford chart Ilfotec HC 1+31</t>
        </is>
      </c>
    </row>
    <row r="391">
      <c r="A391" t="inlineStr">
        <is>
          <t>Kodak Tri-X 400</t>
        </is>
      </c>
      <c r="B391" t="n">
        <v>400</v>
      </c>
      <c r="C391" t="inlineStr">
        <is>
          <t>ID-11</t>
        </is>
      </c>
      <c r="D391" t="inlineStr">
        <is>
          <t>Stock</t>
        </is>
      </c>
      <c r="F391" t="n">
        <v>6.75</v>
      </c>
      <c r="I391" t="n">
        <v>12.75</v>
      </c>
      <c r="J391" t="n">
        <v>17.5</v>
      </c>
      <c r="K391" t="n">
        <v>23</v>
      </c>
      <c r="L391" t="inlineStr">
        <is>
          <t>Kodak F-4017 2016 (D-76=ID-11)</t>
        </is>
      </c>
    </row>
    <row r="392">
      <c r="A392" t="inlineStr">
        <is>
          <t>Kodak Tri-X 400</t>
        </is>
      </c>
      <c r="B392" t="n">
        <v>400</v>
      </c>
      <c r="C392" t="inlineStr">
        <is>
          <t>ID-11</t>
        </is>
      </c>
      <c r="D392" t="inlineStr">
        <is>
          <t>1+1</t>
        </is>
      </c>
      <c r="F392" t="n">
        <v>9.75</v>
      </c>
      <c r="I392" t="n">
        <v>16</v>
      </c>
      <c r="J392" t="n">
        <v>21</v>
      </c>
      <c r="K392" t="n">
        <v>27.5</v>
      </c>
      <c r="L392" t="inlineStr">
        <is>
          <t>Kodak F-4017 2016 (D-76=ID-11)</t>
        </is>
      </c>
    </row>
    <row r="393">
      <c r="A393" t="inlineStr">
        <is>
          <t>Kodak Tri-X 400</t>
        </is>
      </c>
      <c r="B393" t="n">
        <v>400</v>
      </c>
      <c r="C393" t="inlineStr">
        <is>
          <t>Rodinal</t>
        </is>
      </c>
      <c r="D393" t="inlineStr">
        <is>
          <t>1+25</t>
        </is>
      </c>
      <c r="F393" t="n">
        <v>9</v>
      </c>
      <c r="I393" t="n">
        <v>13.5</v>
      </c>
      <c r="J393" t="n">
        <v>17.5</v>
      </c>
      <c r="K393" t="n">
        <v>23</v>
      </c>
      <c r="L393" t="inlineStr">
        <is>
          <t>Adox datasheet / Ilford chart ref.</t>
        </is>
      </c>
    </row>
    <row r="394">
      <c r="A394" t="inlineStr">
        <is>
          <t>Kodak Tri-X 400</t>
        </is>
      </c>
      <c r="B394" t="n">
        <v>400</v>
      </c>
      <c r="C394" t="inlineStr">
        <is>
          <t>Rodinal</t>
        </is>
      </c>
      <c r="D394" t="inlineStr">
        <is>
          <t>1+50</t>
        </is>
      </c>
      <c r="F394" t="n">
        <v>13</v>
      </c>
      <c r="I394" t="n">
        <v>17</v>
      </c>
      <c r="J394" t="n">
        <v>22</v>
      </c>
      <c r="K394" t="n">
        <v>28.5</v>
      </c>
      <c r="L394" t="inlineStr">
        <is>
          <t>Adox datasheet documentado</t>
        </is>
      </c>
    </row>
    <row r="395">
      <c r="A395" t="inlineStr">
        <is>
          <t>Kodak Tri-X 400</t>
        </is>
      </c>
      <c r="B395" t="n">
        <v>400</v>
      </c>
      <c r="C395" t="inlineStr">
        <is>
          <t>Ilfotec HC</t>
        </is>
      </c>
      <c r="D395" t="inlineStr">
        <is>
          <t>1+31 (Dil.B)</t>
        </is>
      </c>
      <c r="F395" t="n">
        <v>4.5</v>
      </c>
      <c r="I395" t="n">
        <v>6</v>
      </c>
      <c r="J395" t="n">
        <v>8</v>
      </c>
      <c r="K395" t="n">
        <v>10.5</v>
      </c>
      <c r="L395" t="inlineStr">
        <is>
          <t>Ilford Ilfotec HC = HC-110</t>
        </is>
      </c>
    </row>
    <row r="396">
      <c r="A396" t="inlineStr">
        <is>
          <t>Kodak T-MAX 100</t>
        </is>
      </c>
      <c r="B396" t="n">
        <v>100</v>
      </c>
      <c r="C396" t="inlineStr">
        <is>
          <t>ID-11</t>
        </is>
      </c>
      <c r="D396" t="inlineStr">
        <is>
          <t>Stock</t>
        </is>
      </c>
      <c r="F396" t="n">
        <v>8</v>
      </c>
      <c r="I396" t="n">
        <v>10</v>
      </c>
      <c r="J396" t="n">
        <v>12.5</v>
      </c>
      <c r="K396" t="n">
        <v>15.5</v>
      </c>
      <c r="L396" t="inlineStr">
        <is>
          <t>Kodak F-4016 (D-76=ID-11)</t>
        </is>
      </c>
    </row>
    <row r="397">
      <c r="A397" t="inlineStr">
        <is>
          <t>Kodak T-MAX 100</t>
        </is>
      </c>
      <c r="B397" t="n">
        <v>100</v>
      </c>
      <c r="C397" t="inlineStr">
        <is>
          <t>ID-11</t>
        </is>
      </c>
      <c r="D397" t="inlineStr">
        <is>
          <t>1+1</t>
        </is>
      </c>
      <c r="F397" t="n">
        <v>10</v>
      </c>
      <c r="I397" t="n">
        <v>12.5</v>
      </c>
      <c r="J397" t="n">
        <v>15.5</v>
      </c>
      <c r="K397" t="n">
        <v>19.5</v>
      </c>
      <c r="L397" t="inlineStr">
        <is>
          <t>Kodak F-4016 (D-76=ID-11)</t>
        </is>
      </c>
    </row>
    <row r="398">
      <c r="A398" t="inlineStr">
        <is>
          <t>Kodak T-MAX 100</t>
        </is>
      </c>
      <c r="B398" t="n">
        <v>100</v>
      </c>
      <c r="C398" t="inlineStr">
        <is>
          <t>Rodinal</t>
        </is>
      </c>
      <c r="D398" t="inlineStr">
        <is>
          <t>1+25</t>
        </is>
      </c>
      <c r="F398" t="n">
        <v>9</v>
      </c>
      <c r="I398" t="n">
        <v>11</v>
      </c>
      <c r="J398" t="n">
        <v>14</v>
      </c>
      <c r="K398" t="n">
        <v>17.5</v>
      </c>
      <c r="L398" t="inlineStr">
        <is>
          <t>Foma tabla 09/16 (R09=Rodinal)</t>
        </is>
      </c>
    </row>
    <row r="399">
      <c r="A399" t="inlineStr">
        <is>
          <t>Kodak T-MAX 100</t>
        </is>
      </c>
      <c r="B399" t="n">
        <v>100</v>
      </c>
      <c r="C399" t="inlineStr">
        <is>
          <t>Rodinal</t>
        </is>
      </c>
      <c r="D399" t="inlineStr">
        <is>
          <t>1+50</t>
        </is>
      </c>
      <c r="F399" t="n">
        <v>15.5</v>
      </c>
      <c r="I399" t="n">
        <v>19.5</v>
      </c>
      <c r="J399" t="n">
        <v>24.5</v>
      </c>
      <c r="K399" t="n">
        <v>30.5</v>
      </c>
      <c r="L399" t="inlineStr">
        <is>
          <t>Foma tabla 09/16 (R09=Rodinal)</t>
        </is>
      </c>
    </row>
    <row r="400">
      <c r="A400" t="inlineStr">
        <is>
          <t>Kodak T-MAX 100</t>
        </is>
      </c>
      <c r="B400" t="n">
        <v>100</v>
      </c>
      <c r="C400" t="inlineStr">
        <is>
          <t>Ilfotec HC</t>
        </is>
      </c>
      <c r="D400" t="inlineStr">
        <is>
          <t>1+31 (Dil.B)</t>
        </is>
      </c>
      <c r="F400" t="n">
        <v>6.5</v>
      </c>
      <c r="I400" t="n">
        <v>8</v>
      </c>
      <c r="J400" t="n">
        <v>10</v>
      </c>
      <c r="K400" t="n">
        <v>12.5</v>
      </c>
      <c r="L400" t="inlineStr">
        <is>
          <t>Ilford Ilfotec HC = HC-110 B</t>
        </is>
      </c>
    </row>
    <row r="401">
      <c r="A401" t="inlineStr">
        <is>
          <t>Kodak T-MAX 400</t>
        </is>
      </c>
      <c r="B401" t="n">
        <v>400</v>
      </c>
      <c r="C401" t="inlineStr">
        <is>
          <t>ID-11</t>
        </is>
      </c>
      <c r="D401" t="inlineStr">
        <is>
          <t>Stock</t>
        </is>
      </c>
      <c r="F401" t="n">
        <v>8</v>
      </c>
      <c r="I401" t="n">
        <v>10.5</v>
      </c>
      <c r="J401" t="n">
        <v>13</v>
      </c>
      <c r="K401" t="n">
        <v>16</v>
      </c>
      <c r="L401" t="inlineStr">
        <is>
          <t>Kodak F-4043 (D-76=ID-11)</t>
        </is>
      </c>
    </row>
    <row r="402">
      <c r="A402" t="inlineStr">
        <is>
          <t>Kodak T-MAX 400</t>
        </is>
      </c>
      <c r="B402" t="n">
        <v>400</v>
      </c>
      <c r="C402" t="inlineStr">
        <is>
          <t>ID-11</t>
        </is>
      </c>
      <c r="D402" t="inlineStr">
        <is>
          <t>1+1</t>
        </is>
      </c>
      <c r="F402" t="n">
        <v>11</v>
      </c>
      <c r="I402" t="n">
        <v>13.5</v>
      </c>
      <c r="J402" t="n">
        <v>16</v>
      </c>
      <c r="K402" t="n">
        <v>20</v>
      </c>
      <c r="L402" t="inlineStr">
        <is>
          <t>Kodak F-4043 (D-76=ID-11)</t>
        </is>
      </c>
    </row>
    <row r="403">
      <c r="A403" t="inlineStr">
        <is>
          <t>Kodak T-MAX 400</t>
        </is>
      </c>
      <c r="B403" t="n">
        <v>400</v>
      </c>
      <c r="C403" t="inlineStr">
        <is>
          <t>Rodinal</t>
        </is>
      </c>
      <c r="D403" t="inlineStr">
        <is>
          <t>1+25</t>
        </is>
      </c>
      <c r="F403" t="n">
        <v>8</v>
      </c>
      <c r="I403" t="n">
        <v>11</v>
      </c>
      <c r="J403" t="n">
        <v>14</v>
      </c>
      <c r="K403" t="n">
        <v>17.5</v>
      </c>
      <c r="L403" t="inlineStr">
        <is>
          <t>Foma tabla 09/16 (R09=Rodinal)</t>
        </is>
      </c>
    </row>
    <row r="404">
      <c r="A404" t="inlineStr">
        <is>
          <t>Kodak T-MAX 400</t>
        </is>
      </c>
      <c r="B404" t="n">
        <v>400</v>
      </c>
      <c r="C404" t="inlineStr">
        <is>
          <t>Rodinal</t>
        </is>
      </c>
      <c r="D404" t="inlineStr">
        <is>
          <t>1+50</t>
        </is>
      </c>
      <c r="F404" t="n">
        <v>11.5</v>
      </c>
      <c r="I404" t="n">
        <v>14.5</v>
      </c>
      <c r="J404" t="n">
        <v>18</v>
      </c>
      <c r="K404" t="n">
        <v>22.5</v>
      </c>
      <c r="L404" t="inlineStr">
        <is>
          <t>Foma tabla 09/16 (R09=Rodinal)</t>
        </is>
      </c>
    </row>
    <row r="405">
      <c r="A405" t="inlineStr">
        <is>
          <t>Kodak T-MAX 400</t>
        </is>
      </c>
      <c r="B405" t="n">
        <v>400</v>
      </c>
      <c r="C405" t="inlineStr">
        <is>
          <t>Ilfotec HC</t>
        </is>
      </c>
      <c r="D405" t="inlineStr">
        <is>
          <t>1+31 (Dil.B)</t>
        </is>
      </c>
      <c r="F405" t="n">
        <v>6</v>
      </c>
      <c r="I405" t="n">
        <v>7.5</v>
      </c>
      <c r="J405" t="n">
        <v>9.5</v>
      </c>
      <c r="K405" t="n">
        <v>12</v>
      </c>
      <c r="L405" t="inlineStr">
        <is>
          <t>Ilford Ilfotec HC = HC-110 B</t>
        </is>
      </c>
    </row>
    <row r="406">
      <c r="A406" t="inlineStr">
        <is>
          <t>Fomapan 100</t>
        </is>
      </c>
      <c r="B406" t="n">
        <v>100</v>
      </c>
      <c r="C406" t="inlineStr">
        <is>
          <t>ID-11</t>
        </is>
      </c>
      <c r="D406" t="inlineStr">
        <is>
          <t>Stock</t>
        </is>
      </c>
      <c r="F406" t="n">
        <v>9.5</v>
      </c>
      <c r="I406" t="n">
        <v>12.5</v>
      </c>
      <c r="J406" t="n">
        <v>16</v>
      </c>
      <c r="K406" t="n">
        <v>21</v>
      </c>
      <c r="L406" t="inlineStr">
        <is>
          <t>Foma tabla 09/16 (Fomadon P=ID-11)</t>
        </is>
      </c>
    </row>
    <row r="407">
      <c r="A407" t="inlineStr">
        <is>
          <t>Fomapan 100</t>
        </is>
      </c>
      <c r="B407" t="n">
        <v>100</v>
      </c>
      <c r="C407" t="inlineStr">
        <is>
          <t>ID-11</t>
        </is>
      </c>
      <c r="D407" t="inlineStr">
        <is>
          <t>1+1</t>
        </is>
      </c>
      <c r="F407" t="n">
        <v>13</v>
      </c>
      <c r="I407" t="n">
        <v>17</v>
      </c>
      <c r="J407" t="n">
        <v>22</v>
      </c>
      <c r="K407" t="n">
        <v>28.5</v>
      </c>
      <c r="L407" t="inlineStr">
        <is>
          <t>Foma datasheet</t>
        </is>
      </c>
    </row>
    <row r="408">
      <c r="A408" t="inlineStr">
        <is>
          <t>Fomapan 100</t>
        </is>
      </c>
      <c r="B408" t="n">
        <v>100</v>
      </c>
      <c r="C408" t="inlineStr">
        <is>
          <t>Ilfotec HC</t>
        </is>
      </c>
      <c r="D408" t="inlineStr">
        <is>
          <t>1+31 (Dil.B)</t>
        </is>
      </c>
      <c r="F408" t="n">
        <v>5</v>
      </c>
      <c r="I408" t="n">
        <v>6.5</v>
      </c>
      <c r="J408" t="n">
        <v>8.5</v>
      </c>
      <c r="K408" t="n">
        <v>11</v>
      </c>
      <c r="L408" t="inlineStr">
        <is>
          <t>Equivalente HC-110 Dil.B</t>
        </is>
      </c>
    </row>
    <row r="409">
      <c r="A409" t="inlineStr">
        <is>
          <t>Fomapan 100</t>
        </is>
      </c>
      <c r="B409" t="n">
        <v>100</v>
      </c>
      <c r="C409" t="inlineStr">
        <is>
          <t>Ilfosol 3</t>
        </is>
      </c>
      <c r="D409" t="inlineStr">
        <is>
          <t>1+9</t>
        </is>
      </c>
      <c r="F409" t="n">
        <v>5.5</v>
      </c>
      <c r="I409" t="n">
        <v>7</v>
      </c>
      <c r="J409" t="n">
        <v>9</v>
      </c>
      <c r="K409" t="n">
        <v>11.5</v>
      </c>
      <c r="L409" t="inlineStr">
        <is>
          <t>Interpolado Ilfosol 3 ISO100</t>
        </is>
      </c>
    </row>
    <row r="410">
      <c r="A410" t="inlineStr">
        <is>
          <t>Fomapan 100</t>
        </is>
      </c>
      <c r="B410" t="n">
        <v>100</v>
      </c>
      <c r="C410" t="inlineStr">
        <is>
          <t>Ilfotec DD-X</t>
        </is>
      </c>
      <c r="D410" t="inlineStr">
        <is>
          <t>1+4</t>
        </is>
      </c>
      <c r="F410" t="n">
        <v>8</v>
      </c>
      <c r="I410" t="n">
        <v>10.5</v>
      </c>
      <c r="J410" t="n">
        <v>13.5</v>
      </c>
      <c r="K410" t="n">
        <v>17.5</v>
      </c>
      <c r="L410" t="inlineStr">
        <is>
          <t>Interpolado DD-X ISO100</t>
        </is>
      </c>
    </row>
    <row r="411">
      <c r="A411" t="inlineStr">
        <is>
          <t>Fomapan 400</t>
        </is>
      </c>
      <c r="B411" t="n">
        <v>400</v>
      </c>
      <c r="C411" t="inlineStr">
        <is>
          <t>ID-11</t>
        </is>
      </c>
      <c r="D411" t="inlineStr">
        <is>
          <t>Stock</t>
        </is>
      </c>
      <c r="F411" t="n">
        <v>9</v>
      </c>
      <c r="I411" t="n">
        <v>12</v>
      </c>
      <c r="J411" t="n">
        <v>15.5</v>
      </c>
      <c r="K411" t="n">
        <v>20</v>
      </c>
      <c r="L411" t="inlineStr">
        <is>
          <t>Foma tabla / Fomadon P=ID-11</t>
        </is>
      </c>
    </row>
    <row r="412">
      <c r="A412" t="inlineStr">
        <is>
          <t>Fomapan 400</t>
        </is>
      </c>
      <c r="B412" t="n">
        <v>400</v>
      </c>
      <c r="C412" t="inlineStr">
        <is>
          <t>ID-11</t>
        </is>
      </c>
      <c r="D412" t="inlineStr">
        <is>
          <t>1+1</t>
        </is>
      </c>
      <c r="F412" t="n">
        <v>12</v>
      </c>
      <c r="I412" t="n">
        <v>15.5</v>
      </c>
      <c r="J412" t="n">
        <v>20</v>
      </c>
      <c r="K412" t="n">
        <v>26</v>
      </c>
      <c r="L412" t="inlineStr">
        <is>
          <t>Foma tabla / interpolado</t>
        </is>
      </c>
    </row>
    <row r="413">
      <c r="A413" t="inlineStr">
        <is>
          <t>Fomapan 400</t>
        </is>
      </c>
      <c r="B413" t="n">
        <v>400</v>
      </c>
      <c r="C413" t="inlineStr">
        <is>
          <t>Ilfotec HC</t>
        </is>
      </c>
      <c r="D413" t="inlineStr">
        <is>
          <t>1+31 (Dil.B)</t>
        </is>
      </c>
      <c r="F413" t="n">
        <v>6</v>
      </c>
      <c r="I413" t="n">
        <v>8</v>
      </c>
      <c r="J413" t="n">
        <v>11</v>
      </c>
      <c r="K413" t="n">
        <v>14.5</v>
      </c>
      <c r="L413" t="inlineStr">
        <is>
          <t>Equivalente HC-110 Dil.B</t>
        </is>
      </c>
    </row>
    <row r="414">
      <c r="A414" t="inlineStr">
        <is>
          <t>Fomapan 400</t>
        </is>
      </c>
      <c r="B414" t="n">
        <v>400</v>
      </c>
      <c r="C414" t="inlineStr">
        <is>
          <t>Ilfosol 3</t>
        </is>
      </c>
      <c r="D414" t="inlineStr">
        <is>
          <t>1+9</t>
        </is>
      </c>
      <c r="F414" t="n">
        <v>6.5</v>
      </c>
      <c r="I414" t="n">
        <v>8.5</v>
      </c>
      <c r="J414" t="n">
        <v>11</v>
      </c>
      <c r="K414" t="n">
        <v>14.5</v>
      </c>
      <c r="L414" t="inlineStr">
        <is>
          <t>Interpolado Ilfosol 3 ISO400</t>
        </is>
      </c>
    </row>
    <row r="415">
      <c r="A415" t="inlineStr">
        <is>
          <t>Fomapan 400</t>
        </is>
      </c>
      <c r="B415" t="n">
        <v>400</v>
      </c>
      <c r="C415" t="inlineStr">
        <is>
          <t>Ilfotec DD-X</t>
        </is>
      </c>
      <c r="D415" t="inlineStr">
        <is>
          <t>1+4</t>
        </is>
      </c>
      <c r="F415" t="n">
        <v>9</v>
      </c>
      <c r="I415" t="n">
        <v>11</v>
      </c>
      <c r="J415" t="n">
        <v>14.5</v>
      </c>
      <c r="K415" t="n">
        <v>19</v>
      </c>
      <c r="L415" t="inlineStr">
        <is>
          <t>Interpolado DD-X ISO400</t>
        </is>
      </c>
    </row>
    <row r="416">
      <c r="A416" t="inlineStr">
        <is>
          <t>Ilford Delta 100</t>
        </is>
      </c>
      <c r="B416" t="n">
        <v>100</v>
      </c>
      <c r="C416" t="inlineStr">
        <is>
          <t>D-76</t>
        </is>
      </c>
      <c r="D416" t="inlineStr">
        <is>
          <t>Stock</t>
        </is>
      </c>
      <c r="F416" t="n">
        <v>7.5</v>
      </c>
      <c r="I416" t="n">
        <v>9.5</v>
      </c>
      <c r="J416" t="n">
        <v>12</v>
      </c>
      <c r="K416" t="n">
        <v>15</v>
      </c>
      <c r="L416" t="inlineStr">
        <is>
          <t>Ilford chart (=ID-11)</t>
        </is>
      </c>
    </row>
    <row r="417">
      <c r="A417" t="inlineStr">
        <is>
          <t>Ilford Delta 100</t>
        </is>
      </c>
      <c r="B417" t="n">
        <v>100</v>
      </c>
      <c r="C417" t="inlineStr">
        <is>
          <t>D-76</t>
        </is>
      </c>
      <c r="D417" t="inlineStr">
        <is>
          <t>1+1</t>
        </is>
      </c>
      <c r="F417" t="n">
        <v>10.5</v>
      </c>
      <c r="I417" t="n">
        <v>13</v>
      </c>
      <c r="J417" t="n">
        <v>16</v>
      </c>
      <c r="K417" t="n">
        <v>20</v>
      </c>
      <c r="L417" t="inlineStr">
        <is>
          <t>Ilford chart (=ID-11)</t>
        </is>
      </c>
    </row>
    <row r="418">
      <c r="A418" t="inlineStr">
        <is>
          <t>Ilford Delta 100</t>
        </is>
      </c>
      <c r="B418" t="n">
        <v>100</v>
      </c>
      <c r="C418" t="inlineStr">
        <is>
          <t>Microphen</t>
        </is>
      </c>
      <c r="D418" t="inlineStr">
        <is>
          <t>Stock</t>
        </is>
      </c>
      <c r="F418" t="n">
        <v>8</v>
      </c>
      <c r="I418" t="n">
        <v>10</v>
      </c>
      <c r="J418" t="n">
        <v>12.5</v>
      </c>
      <c r="K418" t="n">
        <v>15.5</v>
      </c>
      <c r="L418" t="inlineStr">
        <is>
          <t>Interpolado Microphen Delta 100</t>
        </is>
      </c>
    </row>
    <row r="419">
      <c r="A419" t="inlineStr">
        <is>
          <t>Ilford Delta 100</t>
        </is>
      </c>
      <c r="B419" t="n">
        <v>100</v>
      </c>
      <c r="C419" t="inlineStr">
        <is>
          <t>Ilfotec HC</t>
        </is>
      </c>
      <c r="D419" t="inlineStr">
        <is>
          <t>1+31 (Dil.B)</t>
        </is>
      </c>
      <c r="F419" t="n">
        <v>6.5</v>
      </c>
      <c r="I419" t="n">
        <v>8</v>
      </c>
      <c r="J419" t="n">
        <v>10</v>
      </c>
      <c r="K419" t="n">
        <v>12.5</v>
      </c>
      <c r="L419" t="inlineStr">
        <is>
          <t>Interpolado Ilfotec HC Delta 100</t>
        </is>
      </c>
    </row>
    <row r="420">
      <c r="A420" t="inlineStr">
        <is>
          <t>Ilford Delta 100</t>
        </is>
      </c>
      <c r="B420" t="n">
        <v>100</v>
      </c>
      <c r="C420" t="inlineStr">
        <is>
          <t>Ilfotec LC29</t>
        </is>
      </c>
      <c r="D420" t="inlineStr">
        <is>
          <t>1+19</t>
        </is>
      </c>
      <c r="F420" t="n">
        <v>5</v>
      </c>
      <c r="I420" t="n">
        <v>6</v>
      </c>
      <c r="J420" t="n">
        <v>7.5</v>
      </c>
      <c r="K420" t="n">
        <v>9.5</v>
      </c>
      <c r="L420" t="inlineStr">
        <is>
          <t>Interpolado LC29 Delta 100</t>
        </is>
      </c>
    </row>
    <row r="421">
      <c r="A421" t="inlineStr">
        <is>
          <t>Ilford Delta 400</t>
        </is>
      </c>
      <c r="B421" t="n">
        <v>400</v>
      </c>
      <c r="C421" t="inlineStr">
        <is>
          <t>D-76</t>
        </is>
      </c>
      <c r="D421" t="inlineStr">
        <is>
          <t>Stock</t>
        </is>
      </c>
      <c r="F421" t="n">
        <v>7</v>
      </c>
      <c r="I421" t="n">
        <v>9.5</v>
      </c>
      <c r="J421" t="n">
        <v>12</v>
      </c>
      <c r="K421" t="n">
        <v>15</v>
      </c>
      <c r="L421" t="inlineStr">
        <is>
          <t>Ilford chart (=ID-11)</t>
        </is>
      </c>
    </row>
    <row r="422">
      <c r="A422" t="inlineStr">
        <is>
          <t>Ilford Delta 400</t>
        </is>
      </c>
      <c r="B422" t="n">
        <v>400</v>
      </c>
      <c r="C422" t="inlineStr">
        <is>
          <t>D-76</t>
        </is>
      </c>
      <c r="D422" t="inlineStr">
        <is>
          <t>1+1</t>
        </is>
      </c>
      <c r="F422" t="n">
        <v>10</v>
      </c>
      <c r="I422" t="n">
        <v>13</v>
      </c>
      <c r="J422" t="n">
        <v>17</v>
      </c>
      <c r="K422" t="n">
        <v>21</v>
      </c>
      <c r="L422" t="inlineStr">
        <is>
          <t>Ilford chart (=ID-11)</t>
        </is>
      </c>
    </row>
    <row r="423">
      <c r="A423" t="inlineStr">
        <is>
          <t>Ilford Delta 400</t>
        </is>
      </c>
      <c r="B423" t="n">
        <v>400</v>
      </c>
      <c r="C423" t="inlineStr">
        <is>
          <t>HC-110</t>
        </is>
      </c>
      <c r="D423" t="inlineStr">
        <is>
          <t>Dil. B (1+31)</t>
        </is>
      </c>
      <c r="F423" t="n">
        <v>7.5</v>
      </c>
      <c r="I423" t="n">
        <v>10</v>
      </c>
      <c r="J423" t="n">
        <v>13.5</v>
      </c>
      <c r="K423" t="n">
        <v>17</v>
      </c>
      <c r="L423" t="inlineStr">
        <is>
          <t>Ilford chart Ilfotec HC 1+31</t>
        </is>
      </c>
    </row>
    <row r="424">
      <c r="A424" t="inlineStr">
        <is>
          <t>Ilford Delta 400</t>
        </is>
      </c>
      <c r="B424" t="n">
        <v>400</v>
      </c>
      <c r="C424" t="inlineStr">
        <is>
          <t>Ilfotec LC29</t>
        </is>
      </c>
      <c r="D424" t="inlineStr">
        <is>
          <t>1+9</t>
        </is>
      </c>
      <c r="F424" t="n">
        <v>4.5</v>
      </c>
      <c r="I424" t="n">
        <v>6.5</v>
      </c>
      <c r="J424" t="n">
        <v>8</v>
      </c>
      <c r="K424" t="n">
        <v>10</v>
      </c>
      <c r="L424" t="inlineStr">
        <is>
          <t>Interpolado LC29 Delta 400</t>
        </is>
      </c>
    </row>
    <row r="425">
      <c r="A425" t="inlineStr">
        <is>
          <t>Ilford Delta 400</t>
        </is>
      </c>
      <c r="B425" t="n">
        <v>400</v>
      </c>
      <c r="C425" t="inlineStr">
        <is>
          <t>Ilfotec LC29</t>
        </is>
      </c>
      <c r="D425" t="inlineStr">
        <is>
          <t>1+19</t>
        </is>
      </c>
      <c r="F425" t="n">
        <v>8</v>
      </c>
      <c r="I425" t="n">
        <v>12.5</v>
      </c>
      <c r="J425" t="n">
        <v>15.5</v>
      </c>
      <c r="K425" t="n">
        <v>19.5</v>
      </c>
      <c r="L425" t="inlineStr">
        <is>
          <t>Interpolado LC29 Delta 400</t>
        </is>
      </c>
    </row>
    <row r="426">
      <c r="A426" t="inlineStr">
        <is>
          <t>Ilford Pan F Plus</t>
        </is>
      </c>
      <c r="B426" t="n">
        <v>50</v>
      </c>
      <c r="C426" t="inlineStr">
        <is>
          <t>HC-110</t>
        </is>
      </c>
      <c r="D426" t="inlineStr">
        <is>
          <t>Dil. B (1+31)</t>
        </is>
      </c>
      <c r="F426" t="n">
        <v>7</v>
      </c>
      <c r="I426" t="n">
        <v>9</v>
      </c>
      <c r="J426" t="n">
        <v>11.5</v>
      </c>
      <c r="K426" t="n">
        <v>15</v>
      </c>
      <c r="L426" t="inlineStr">
        <is>
          <t>Ilford chart HC-110=IlfotecHC 1+31</t>
        </is>
      </c>
    </row>
    <row r="427">
      <c r="A427" t="inlineStr">
        <is>
          <t>Ilford FP4 Plus</t>
        </is>
      </c>
      <c r="B427" t="n">
        <v>125</v>
      </c>
      <c r="C427" t="inlineStr">
        <is>
          <t>HC-110</t>
        </is>
      </c>
      <c r="D427" t="inlineStr">
        <is>
          <t>Dil. B (1+31)</t>
        </is>
      </c>
      <c r="F427" t="n">
        <v>5.5</v>
      </c>
      <c r="I427" t="n">
        <v>7</v>
      </c>
      <c r="J427" t="n">
        <v>9</v>
      </c>
      <c r="K427" t="n">
        <v>11.5</v>
      </c>
      <c r="L427" t="inlineStr">
        <is>
          <t>Ilford chart HC-110=IlfotecHC 1+31</t>
        </is>
      </c>
    </row>
    <row r="428">
      <c r="A428" t="inlineStr">
        <is>
          <t>Ilford FP4 Plus</t>
        </is>
      </c>
      <c r="B428" t="n">
        <v>125</v>
      </c>
      <c r="C428" t="inlineStr">
        <is>
          <t>HC-110</t>
        </is>
      </c>
      <c r="D428" t="inlineStr">
        <is>
          <t>Dil. A (1+15)</t>
        </is>
      </c>
      <c r="F428" t="n">
        <v>4</v>
      </c>
      <c r="I428" t="n">
        <v>5</v>
      </c>
      <c r="J428" t="n">
        <v>6.5</v>
      </c>
      <c r="K428" t="n">
        <v>8.5</v>
      </c>
      <c r="L428" t="inlineStr">
        <is>
          <t>Ilford chart HC-110=IlfotecHC 1+15</t>
        </is>
      </c>
    </row>
    <row r="429">
      <c r="A429" t="inlineStr">
        <is>
          <t>Ilford Delta 100</t>
        </is>
      </c>
      <c r="B429" t="n">
        <v>100</v>
      </c>
      <c r="C429" t="inlineStr">
        <is>
          <t>HC-110</t>
        </is>
      </c>
      <c r="D429" t="inlineStr">
        <is>
          <t>Dil. B (1+31)</t>
        </is>
      </c>
      <c r="F429" t="n">
        <v>6</v>
      </c>
      <c r="I429" t="n">
        <v>7.5</v>
      </c>
      <c r="J429" t="n">
        <v>9.5</v>
      </c>
      <c r="K429" t="n">
        <v>12</v>
      </c>
      <c r="L429" t="inlineStr">
        <is>
          <t>Ilford chart HC-110=IlfotecHC 1+31</t>
        </is>
      </c>
    </row>
    <row r="430">
      <c r="A430" t="inlineStr">
        <is>
          <t>Ilford Delta 100</t>
        </is>
      </c>
      <c r="B430" t="n">
        <v>100</v>
      </c>
      <c r="C430" t="inlineStr">
        <is>
          <t>HC-110</t>
        </is>
      </c>
      <c r="D430" t="inlineStr">
        <is>
          <t>Dil. A (1+15)</t>
        </is>
      </c>
      <c r="F430" t="n">
        <v>4.5</v>
      </c>
      <c r="I430" t="n">
        <v>5.5</v>
      </c>
      <c r="J430" t="n">
        <v>7</v>
      </c>
      <c r="K430" t="n">
        <v>9</v>
      </c>
      <c r="L430" t="inlineStr">
        <is>
          <t>Ilford chart HC-110=IlfotecHC 1+15</t>
        </is>
      </c>
    </row>
    <row r="431">
      <c r="A431" t="inlineStr">
        <is>
          <t>Ilford HP5 Plus</t>
        </is>
      </c>
      <c r="B431" t="n">
        <v>400</v>
      </c>
      <c r="C431" t="inlineStr">
        <is>
          <t>HC-110</t>
        </is>
      </c>
      <c r="D431" t="inlineStr">
        <is>
          <t>Dil. A (1+15)</t>
        </is>
      </c>
      <c r="F431" t="n">
        <v>5.5</v>
      </c>
      <c r="I431" t="n">
        <v>7.5</v>
      </c>
      <c r="J431" t="n">
        <v>10</v>
      </c>
      <c r="K431" t="n">
        <v>13</v>
      </c>
      <c r="L431" t="inlineStr">
        <is>
          <t>Ilford chart HC-110=IlfotecHC 1+15</t>
        </is>
      </c>
    </row>
    <row r="432">
      <c r="A432" t="inlineStr">
        <is>
          <t>Ilford SFX 200</t>
        </is>
      </c>
      <c r="B432" t="n">
        <v>200</v>
      </c>
      <c r="C432" t="inlineStr">
        <is>
          <t>HC-110</t>
        </is>
      </c>
      <c r="D432" t="inlineStr">
        <is>
          <t>Dil. B (1+31)</t>
        </is>
      </c>
      <c r="F432" t="n">
        <v>9.5</v>
      </c>
      <c r="I432" t="n">
        <v>13.5</v>
      </c>
      <c r="J432" t="n">
        <v>17.5</v>
      </c>
      <c r="K432" t="n">
        <v>23</v>
      </c>
      <c r="L432" t="inlineStr">
        <is>
          <t>Ilford chart HC-110=IlfotecHC 1+31</t>
        </is>
      </c>
    </row>
    <row r="433">
      <c r="A433" t="inlineStr">
        <is>
          <t>Ilford Delta 400</t>
        </is>
      </c>
      <c r="B433" t="n">
        <v>400</v>
      </c>
      <c r="C433" t="inlineStr">
        <is>
          <t>HC-110</t>
        </is>
      </c>
      <c r="D433" t="inlineStr">
        <is>
          <t>Dil. A (1+15)</t>
        </is>
      </c>
      <c r="F433" t="n">
        <v>5.5</v>
      </c>
      <c r="I433" t="n">
        <v>8</v>
      </c>
      <c r="J433" t="n">
        <v>10</v>
      </c>
      <c r="K433" t="n">
        <v>12.5</v>
      </c>
      <c r="L433" t="inlineStr">
        <is>
          <t>Ilford chart HC-110=IlfotecHC 1+15</t>
        </is>
      </c>
    </row>
    <row r="434">
      <c r="A434" t="inlineStr">
        <is>
          <t>Ilford Delta 3200</t>
        </is>
      </c>
      <c r="B434" t="n">
        <v>3200</v>
      </c>
      <c r="C434" t="inlineStr">
        <is>
          <t>HC-110</t>
        </is>
      </c>
      <c r="D434" t="inlineStr">
        <is>
          <t>Dil. B (1+31)</t>
        </is>
      </c>
      <c r="F434" t="n">
        <v>10.5</v>
      </c>
      <c r="I434" t="n">
        <v>13</v>
      </c>
      <c r="J434" t="n">
        <v>16</v>
      </c>
      <c r="K434" t="n">
        <v>20</v>
      </c>
      <c r="L434" t="inlineStr">
        <is>
          <t>Ilford chart HC-110=IlfotecHC 1+31</t>
        </is>
      </c>
    </row>
    <row r="435">
      <c r="A435" t="inlineStr">
        <is>
          <t>Ilford Pan F Plus</t>
        </is>
      </c>
      <c r="B435" t="n">
        <v>50</v>
      </c>
      <c r="C435" t="inlineStr">
        <is>
          <t>D-76</t>
        </is>
      </c>
      <c r="D435" t="inlineStr">
        <is>
          <t>Stock</t>
        </is>
      </c>
      <c r="F435" t="n">
        <v>4.5</v>
      </c>
      <c r="I435" t="n">
        <v>6</v>
      </c>
      <c r="J435" t="n">
        <v>8</v>
      </c>
      <c r="K435" t="n">
        <v>10.5</v>
      </c>
      <c r="L435" t="inlineStr">
        <is>
          <t>Ilford chart (=ID-11)</t>
        </is>
      </c>
    </row>
    <row r="436">
      <c r="A436" t="inlineStr">
        <is>
          <t>Ilford Pan F Plus</t>
        </is>
      </c>
      <c r="B436" t="n">
        <v>50</v>
      </c>
      <c r="C436" t="inlineStr">
        <is>
          <t>D-76</t>
        </is>
      </c>
      <c r="D436" t="inlineStr">
        <is>
          <t>1+1</t>
        </is>
      </c>
      <c r="F436" t="n">
        <v>8.5</v>
      </c>
      <c r="I436" t="n">
        <v>11</v>
      </c>
      <c r="J436" t="n">
        <v>14.5</v>
      </c>
      <c r="K436" t="n">
        <v>19</v>
      </c>
      <c r="L436" t="inlineStr">
        <is>
          <t>Ilford chart (=ID-11)</t>
        </is>
      </c>
    </row>
    <row r="437">
      <c r="A437" t="inlineStr">
        <is>
          <t>Ilford SFX 200</t>
        </is>
      </c>
      <c r="B437" t="n">
        <v>200</v>
      </c>
      <c r="C437" t="inlineStr">
        <is>
          <t>D-76</t>
        </is>
      </c>
      <c r="D437" t="inlineStr">
        <is>
          <t>Stock</t>
        </is>
      </c>
      <c r="F437" t="n">
        <v>9</v>
      </c>
      <c r="I437" t="n">
        <v>11</v>
      </c>
      <c r="J437" t="n">
        <v>14</v>
      </c>
      <c r="K437" t="n">
        <v>18</v>
      </c>
      <c r="L437" t="inlineStr">
        <is>
          <t>Ilford chart (=ID-11)</t>
        </is>
      </c>
    </row>
    <row r="438">
      <c r="A438" t="inlineStr">
        <is>
          <t>Ilford SFX 200</t>
        </is>
      </c>
      <c r="B438" t="n">
        <v>200</v>
      </c>
      <c r="C438" t="inlineStr">
        <is>
          <t>D-76</t>
        </is>
      </c>
      <c r="D438" t="inlineStr">
        <is>
          <t>1+1</t>
        </is>
      </c>
      <c r="F438" t="n">
        <v>12</v>
      </c>
      <c r="I438" t="n">
        <v>15</v>
      </c>
      <c r="J438" t="n">
        <v>19.5</v>
      </c>
      <c r="K438" t="n">
        <v>25.5</v>
      </c>
      <c r="L438" t="inlineStr">
        <is>
          <t>Ilford chart (=ID-11)</t>
        </is>
      </c>
    </row>
    <row r="439">
      <c r="A439" t="inlineStr">
        <is>
          <t>Ilford Delta 3200</t>
        </is>
      </c>
      <c r="B439" t="n">
        <v>3200</v>
      </c>
      <c r="C439" t="inlineStr">
        <is>
          <t>D-76</t>
        </is>
      </c>
      <c r="D439" t="inlineStr">
        <is>
          <t>Stock</t>
        </is>
      </c>
      <c r="F439" t="n">
        <v>12.5</v>
      </c>
      <c r="I439" t="n">
        <v>16</v>
      </c>
      <c r="J439" t="n">
        <v>20</v>
      </c>
      <c r="K439" t="n">
        <v>25</v>
      </c>
      <c r="L439" t="inlineStr">
        <is>
          <t>Ilford chart (=ID-11)</t>
        </is>
      </c>
    </row>
    <row r="440">
      <c r="A440" t="inlineStr">
        <is>
          <t>Ilford Pan F Plus</t>
        </is>
      </c>
      <c r="B440" t="n">
        <v>50</v>
      </c>
      <c r="C440" t="inlineStr">
        <is>
          <t>Microdol-X</t>
        </is>
      </c>
      <c r="D440" t="inlineStr">
        <is>
          <t>Stock</t>
        </is>
      </c>
      <c r="F440" t="n">
        <v>10</v>
      </c>
      <c r="I440" t="n">
        <v>13</v>
      </c>
      <c r="J440" t="n">
        <v>17</v>
      </c>
      <c r="K440" t="n">
        <v>22</v>
      </c>
      <c r="L440" t="inlineStr">
        <is>
          <t>Ilford chart Microdol-X</t>
        </is>
      </c>
    </row>
    <row r="441">
      <c r="A441" t="inlineStr">
        <is>
          <t>Ilford FP4 Plus</t>
        </is>
      </c>
      <c r="B441" t="n">
        <v>125</v>
      </c>
      <c r="C441" t="inlineStr">
        <is>
          <t>Microdol-X</t>
        </is>
      </c>
      <c r="D441" t="inlineStr">
        <is>
          <t>Stock</t>
        </is>
      </c>
      <c r="F441" t="n">
        <v>9</v>
      </c>
      <c r="I441" t="n">
        <v>11.5</v>
      </c>
      <c r="J441" t="n">
        <v>15</v>
      </c>
      <c r="K441" t="n">
        <v>19.5</v>
      </c>
      <c r="L441" t="inlineStr">
        <is>
          <t>Ilford chart Microdol-X</t>
        </is>
      </c>
    </row>
    <row r="442">
      <c r="A442" t="inlineStr">
        <is>
          <t>Ilford FP4 Plus</t>
        </is>
      </c>
      <c r="B442" t="n">
        <v>125</v>
      </c>
      <c r="C442" t="inlineStr">
        <is>
          <t>Microdol-X</t>
        </is>
      </c>
      <c r="D442" t="inlineStr">
        <is>
          <t>1+3</t>
        </is>
      </c>
      <c r="F442" t="n">
        <v>14</v>
      </c>
      <c r="I442" t="n">
        <v>18</v>
      </c>
      <c r="J442" t="n">
        <v>23.5</v>
      </c>
      <c r="K442" t="n">
        <v>30.5</v>
      </c>
      <c r="L442" t="inlineStr">
        <is>
          <t>Ilford chart Microdol-X</t>
        </is>
      </c>
    </row>
    <row r="443">
      <c r="A443" t="inlineStr">
        <is>
          <t>Ilford Delta 100</t>
        </is>
      </c>
      <c r="B443" t="n">
        <v>100</v>
      </c>
      <c r="C443" t="inlineStr">
        <is>
          <t>Microdol-X</t>
        </is>
      </c>
      <c r="D443" t="inlineStr">
        <is>
          <t>Stock</t>
        </is>
      </c>
      <c r="F443" t="n">
        <v>12</v>
      </c>
      <c r="I443" t="n">
        <v>15</v>
      </c>
      <c r="J443" t="n">
        <v>19</v>
      </c>
      <c r="K443" t="n">
        <v>24</v>
      </c>
      <c r="L443" t="inlineStr">
        <is>
          <t>Ilford chart Microdol-X</t>
        </is>
      </c>
    </row>
    <row r="444">
      <c r="A444" t="inlineStr">
        <is>
          <t>Ilford Delta 100</t>
        </is>
      </c>
      <c r="B444" t="n">
        <v>100</v>
      </c>
      <c r="C444" t="inlineStr">
        <is>
          <t>Microdol-X</t>
        </is>
      </c>
      <c r="D444" t="inlineStr">
        <is>
          <t>1+3</t>
        </is>
      </c>
      <c r="F444" t="n">
        <v>20</v>
      </c>
      <c r="I444" t="n">
        <v>25</v>
      </c>
      <c r="J444" t="n">
        <v>31</v>
      </c>
      <c r="K444" t="n">
        <v>39</v>
      </c>
      <c r="L444" t="inlineStr">
        <is>
          <t>Ilford chart Microdol-X</t>
        </is>
      </c>
    </row>
    <row r="445">
      <c r="A445" t="inlineStr">
        <is>
          <t>Ilford HP5 Plus</t>
        </is>
      </c>
      <c r="B445" t="n">
        <v>400</v>
      </c>
      <c r="C445" t="inlineStr">
        <is>
          <t>Microdol-X</t>
        </is>
      </c>
      <c r="D445" t="inlineStr">
        <is>
          <t>Stock</t>
        </is>
      </c>
      <c r="F445" t="n">
        <v>10</v>
      </c>
      <c r="I445" t="n">
        <v>13</v>
      </c>
      <c r="J445" t="n">
        <v>17</v>
      </c>
      <c r="K445" t="n">
        <v>22</v>
      </c>
      <c r="L445" t="inlineStr">
        <is>
          <t>Ilford chart Microdol-X</t>
        </is>
      </c>
    </row>
    <row r="446">
      <c r="A446" t="inlineStr">
        <is>
          <t>Ilford Delta 400</t>
        </is>
      </c>
      <c r="B446" t="n">
        <v>400</v>
      </c>
      <c r="C446" t="inlineStr">
        <is>
          <t>Microdol-X</t>
        </is>
      </c>
      <c r="D446" t="inlineStr">
        <is>
          <t>Stock</t>
        </is>
      </c>
      <c r="F446" t="n">
        <v>12.5</v>
      </c>
      <c r="I446" t="n">
        <v>15.5</v>
      </c>
      <c r="J446" t="n">
        <v>19.5</v>
      </c>
      <c r="K446" t="n">
        <v>24.5</v>
      </c>
      <c r="L446" t="inlineStr">
        <is>
          <t>Ilford chart Microdol-X</t>
        </is>
      </c>
    </row>
    <row r="447">
      <c r="A447" t="inlineStr">
        <is>
          <t>Ilford Delta 3200</t>
        </is>
      </c>
      <c r="B447" t="n">
        <v>3200</v>
      </c>
      <c r="C447" t="inlineStr">
        <is>
          <t>Microdol-X</t>
        </is>
      </c>
      <c r="D447" t="inlineStr">
        <is>
          <t>Stock</t>
        </is>
      </c>
      <c r="F447" t="n">
        <v>18</v>
      </c>
      <c r="I447" t="n">
        <v>22.5</v>
      </c>
      <c r="J447" t="n">
        <v>28</v>
      </c>
      <c r="K447" t="n">
        <v>35</v>
      </c>
      <c r="L447" t="inlineStr">
        <is>
          <t>Ilford chart Microdol-X</t>
        </is>
      </c>
    </row>
    <row r="448">
      <c r="A448" t="inlineStr">
        <is>
          <t>Ilford Pan F Plus</t>
        </is>
      </c>
      <c r="B448" t="n">
        <v>50</v>
      </c>
      <c r="C448" t="inlineStr">
        <is>
          <t>T-MAX Dev</t>
        </is>
      </c>
      <c r="D448" t="inlineStr">
        <is>
          <t>1+4</t>
        </is>
      </c>
      <c r="F448" t="n">
        <v>7</v>
      </c>
      <c r="I448" t="n">
        <v>9</v>
      </c>
      <c r="J448" t="n">
        <v>11.5</v>
      </c>
      <c r="K448" t="n">
        <v>15</v>
      </c>
      <c r="L448" t="inlineStr">
        <is>
          <t>Ilford chart T-MAX dev</t>
        </is>
      </c>
    </row>
    <row r="449">
      <c r="A449" t="inlineStr">
        <is>
          <t>Ilford FP4 Plus</t>
        </is>
      </c>
      <c r="B449" t="n">
        <v>125</v>
      </c>
      <c r="C449" t="inlineStr">
        <is>
          <t>T-MAX Dev</t>
        </is>
      </c>
      <c r="D449" t="inlineStr">
        <is>
          <t>1+4</t>
        </is>
      </c>
      <c r="F449" t="n">
        <v>8.5</v>
      </c>
      <c r="I449" t="n">
        <v>11</v>
      </c>
      <c r="J449" t="n">
        <v>14.5</v>
      </c>
      <c r="K449" t="n">
        <v>19</v>
      </c>
      <c r="L449" t="inlineStr">
        <is>
          <t>Ilford chart T-MAX dev</t>
        </is>
      </c>
    </row>
    <row r="450">
      <c r="A450" t="inlineStr">
        <is>
          <t>Ilford Delta 100</t>
        </is>
      </c>
      <c r="B450" t="n">
        <v>100</v>
      </c>
      <c r="C450" t="inlineStr">
        <is>
          <t>T-MAX Dev</t>
        </is>
      </c>
      <c r="D450" t="inlineStr">
        <is>
          <t>1+4</t>
        </is>
      </c>
      <c r="F450" t="n">
        <v>8.5</v>
      </c>
      <c r="I450" t="n">
        <v>10.5</v>
      </c>
      <c r="J450" t="n">
        <v>13</v>
      </c>
      <c r="K450" t="n">
        <v>16</v>
      </c>
      <c r="L450" t="inlineStr">
        <is>
          <t>Ilford chart T-MAX dev</t>
        </is>
      </c>
    </row>
    <row r="451">
      <c r="A451" t="inlineStr">
        <is>
          <t>Ilford HP5 Plus</t>
        </is>
      </c>
      <c r="B451" t="n">
        <v>400</v>
      </c>
      <c r="C451" t="inlineStr">
        <is>
          <t>T-MAX Dev</t>
        </is>
      </c>
      <c r="D451" t="inlineStr">
        <is>
          <t>1+4</t>
        </is>
      </c>
      <c r="F451" t="n">
        <v>9.5</v>
      </c>
      <c r="I451" t="n">
        <v>12.5</v>
      </c>
      <c r="J451" t="n">
        <v>17</v>
      </c>
      <c r="K451" t="n">
        <v>22</v>
      </c>
      <c r="L451" t="inlineStr">
        <is>
          <t>Ilford chart T-MAX dev</t>
        </is>
      </c>
    </row>
    <row r="452">
      <c r="A452" t="inlineStr">
        <is>
          <t>Ilford SFX 200</t>
        </is>
      </c>
      <c r="B452" t="n">
        <v>200</v>
      </c>
      <c r="C452" t="inlineStr">
        <is>
          <t>T-MAX Dev</t>
        </is>
      </c>
      <c r="D452" t="inlineStr">
        <is>
          <t>1+4</t>
        </is>
      </c>
      <c r="F452" t="n">
        <v>10.5</v>
      </c>
      <c r="I452" t="n">
        <v>14</v>
      </c>
      <c r="J452" t="n">
        <v>18</v>
      </c>
      <c r="K452" t="n">
        <v>23.5</v>
      </c>
      <c r="L452" t="inlineStr">
        <is>
          <t>Ilford chart T-MAX dev</t>
        </is>
      </c>
    </row>
    <row r="453">
      <c r="A453" t="inlineStr">
        <is>
          <t>Ilford Delta 400</t>
        </is>
      </c>
      <c r="B453" t="n">
        <v>400</v>
      </c>
      <c r="C453" t="inlineStr">
        <is>
          <t>T-MAX Dev</t>
        </is>
      </c>
      <c r="D453" t="inlineStr">
        <is>
          <t>1+4</t>
        </is>
      </c>
      <c r="F453" t="n">
        <v>8.5</v>
      </c>
      <c r="I453" t="n">
        <v>11</v>
      </c>
      <c r="J453" t="n">
        <v>14</v>
      </c>
      <c r="K453" t="n">
        <v>17.5</v>
      </c>
      <c r="L453" t="inlineStr">
        <is>
          <t>Ilford chart T-MAX dev</t>
        </is>
      </c>
    </row>
    <row r="454">
      <c r="A454" t="inlineStr">
        <is>
          <t>Ilford Delta 3200</t>
        </is>
      </c>
      <c r="B454" t="n">
        <v>3200</v>
      </c>
      <c r="C454" t="inlineStr">
        <is>
          <t>T-MAX Dev</t>
        </is>
      </c>
      <c r="D454" t="inlineStr">
        <is>
          <t>1+4</t>
        </is>
      </c>
      <c r="F454" t="n">
        <v>13.5</v>
      </c>
      <c r="I454" t="n">
        <v>17</v>
      </c>
      <c r="J454" t="n">
        <v>21</v>
      </c>
      <c r="K454" t="n">
        <v>26</v>
      </c>
      <c r="L454" t="inlineStr">
        <is>
          <t>Ilford chart T-MAX dev</t>
        </is>
      </c>
    </row>
    <row r="455">
      <c r="A455" t="inlineStr">
        <is>
          <t>Ilford Pan F Plus</t>
        </is>
      </c>
      <c r="B455" t="n">
        <v>50</v>
      </c>
      <c r="C455" t="inlineStr">
        <is>
          <t>T-MAX RS</t>
        </is>
      </c>
      <c r="D455" t="inlineStr">
        <is>
          <t>1+4</t>
        </is>
      </c>
      <c r="F455" t="n">
        <v>6</v>
      </c>
      <c r="I455" t="n">
        <v>8</v>
      </c>
      <c r="J455" t="n">
        <v>10.5</v>
      </c>
      <c r="K455" t="n">
        <v>13.5</v>
      </c>
      <c r="L455" t="inlineStr">
        <is>
          <t>Ilford chart T-MAX RS</t>
        </is>
      </c>
    </row>
    <row r="456">
      <c r="A456" t="inlineStr">
        <is>
          <t>Ilford FP4 Plus</t>
        </is>
      </c>
      <c r="B456" t="n">
        <v>125</v>
      </c>
      <c r="C456" t="inlineStr">
        <is>
          <t>T-MAX RS</t>
        </is>
      </c>
      <c r="D456" t="inlineStr">
        <is>
          <t>1+4</t>
        </is>
      </c>
      <c r="F456" t="n">
        <v>7.5</v>
      </c>
      <c r="I456" t="n">
        <v>10</v>
      </c>
      <c r="J456" t="n">
        <v>13</v>
      </c>
      <c r="K456" t="n">
        <v>17</v>
      </c>
      <c r="L456" t="inlineStr">
        <is>
          <t>Ilford chart T-MAX RS</t>
        </is>
      </c>
    </row>
    <row r="457">
      <c r="A457" t="inlineStr">
        <is>
          <t>Ilford Delta 100</t>
        </is>
      </c>
      <c r="B457" t="n">
        <v>100</v>
      </c>
      <c r="C457" t="inlineStr">
        <is>
          <t>T-MAX RS</t>
        </is>
      </c>
      <c r="D457" t="inlineStr">
        <is>
          <t>1+4</t>
        </is>
      </c>
      <c r="F457" t="n">
        <v>8</v>
      </c>
      <c r="I457" t="n">
        <v>10</v>
      </c>
      <c r="J457" t="n">
        <v>12.5</v>
      </c>
      <c r="K457" t="n">
        <v>15.5</v>
      </c>
      <c r="L457" t="inlineStr">
        <is>
          <t>Ilford chart T-MAX RS</t>
        </is>
      </c>
    </row>
    <row r="458">
      <c r="A458" t="inlineStr">
        <is>
          <t>Ilford HP5 Plus</t>
        </is>
      </c>
      <c r="B458" t="n">
        <v>400</v>
      </c>
      <c r="C458" t="inlineStr">
        <is>
          <t>T-MAX RS</t>
        </is>
      </c>
      <c r="D458" t="inlineStr">
        <is>
          <t>1+4</t>
        </is>
      </c>
      <c r="F458" t="n">
        <v>9</v>
      </c>
      <c r="I458" t="n">
        <v>12</v>
      </c>
      <c r="J458" t="n">
        <v>15.5</v>
      </c>
      <c r="K458" t="n">
        <v>20</v>
      </c>
      <c r="L458" t="inlineStr">
        <is>
          <t>Ilford chart T-MAX RS</t>
        </is>
      </c>
    </row>
    <row r="459">
      <c r="A459" t="inlineStr">
        <is>
          <t>Ilford Delta 400</t>
        </is>
      </c>
      <c r="B459" t="n">
        <v>400</v>
      </c>
      <c r="C459" t="inlineStr">
        <is>
          <t>T-MAX RS</t>
        </is>
      </c>
      <c r="D459" t="inlineStr">
        <is>
          <t>1+4</t>
        </is>
      </c>
      <c r="F459" t="n">
        <v>8</v>
      </c>
      <c r="I459" t="n">
        <v>10.5</v>
      </c>
      <c r="J459" t="n">
        <v>13</v>
      </c>
      <c r="K459" t="n">
        <v>16</v>
      </c>
      <c r="L459" t="inlineStr">
        <is>
          <t>Ilford chart T-MAX RS</t>
        </is>
      </c>
    </row>
    <row r="460">
      <c r="A460" t="inlineStr">
        <is>
          <t>Adox CHS 100 II</t>
        </is>
      </c>
      <c r="B460" t="n">
        <v>100</v>
      </c>
      <c r="C460" t="inlineStr">
        <is>
          <t>ID-11</t>
        </is>
      </c>
      <c r="D460" t="inlineStr">
        <is>
          <t>Stock</t>
        </is>
      </c>
      <c r="F460" t="n">
        <v>7.5</v>
      </c>
      <c r="I460" t="n">
        <v>10</v>
      </c>
      <c r="J460" t="n">
        <v>13</v>
      </c>
      <c r="K460" t="n">
        <v>17</v>
      </c>
      <c r="L460" t="inlineStr">
        <is>
          <t>Foma tabla 09/16 (Fomadon P=ID-11)</t>
        </is>
      </c>
    </row>
    <row r="461">
      <c r="A461" t="inlineStr">
        <is>
          <t>Adox CHS 100 II</t>
        </is>
      </c>
      <c r="B461" t="n">
        <v>100</v>
      </c>
      <c r="C461" t="inlineStr">
        <is>
          <t>XTOL</t>
        </is>
      </c>
      <c r="D461" t="inlineStr">
        <is>
          <t>Stock</t>
        </is>
      </c>
      <c r="F461" t="n">
        <v>9</v>
      </c>
      <c r="I461" t="n">
        <v>11.5</v>
      </c>
      <c r="J461" t="n">
        <v>15</v>
      </c>
      <c r="K461" t="n">
        <v>19.5</v>
      </c>
      <c r="L461" t="inlineStr">
        <is>
          <t>Foma tabla 09/16 (Fomadon Excel=XTOL)</t>
        </is>
      </c>
    </row>
    <row r="462">
      <c r="A462" t="inlineStr">
        <is>
          <t>Adox CHS 100 II</t>
        </is>
      </c>
      <c r="B462" t="n">
        <v>100</v>
      </c>
      <c r="C462" t="inlineStr">
        <is>
          <t>HC-110</t>
        </is>
      </c>
      <c r="D462" t="inlineStr">
        <is>
          <t>Dil. B (1+31)</t>
        </is>
      </c>
      <c r="F462" t="n">
        <v>5.5</v>
      </c>
      <c r="I462" t="n">
        <v>7</v>
      </c>
      <c r="J462" t="n">
        <v>9</v>
      </c>
      <c r="K462" t="n">
        <v>11.5</v>
      </c>
      <c r="L462" t="inlineStr">
        <is>
          <t>Adox datasheet interpolado</t>
        </is>
      </c>
    </row>
    <row r="463">
      <c r="A463" t="inlineStr">
        <is>
          <t>Adox CHS 100 II</t>
        </is>
      </c>
      <c r="B463" t="n">
        <v>100</v>
      </c>
      <c r="C463" t="inlineStr">
        <is>
          <t>Ilfosol 3</t>
        </is>
      </c>
      <c r="D463" t="inlineStr">
        <is>
          <t>1+9</t>
        </is>
      </c>
      <c r="F463" t="n">
        <v>5.5</v>
      </c>
      <c r="I463" t="n">
        <v>7</v>
      </c>
      <c r="J463" t="n">
        <v>9</v>
      </c>
      <c r="K463" t="n">
        <v>11.5</v>
      </c>
      <c r="L463" t="inlineStr">
        <is>
          <t>Interpolado ISO100 Ilfosol 3</t>
        </is>
      </c>
    </row>
    <row r="464">
      <c r="A464" t="inlineStr">
        <is>
          <t>Adox CHS 100 II</t>
        </is>
      </c>
      <c r="B464" t="n">
        <v>100</v>
      </c>
      <c r="C464" t="inlineStr">
        <is>
          <t>Microphen</t>
        </is>
      </c>
      <c r="D464" t="inlineStr">
        <is>
          <t>Stock</t>
        </is>
      </c>
      <c r="F464" t="n">
        <v>6.5</v>
      </c>
      <c r="I464" t="n">
        <v>8.5</v>
      </c>
      <c r="J464" t="n">
        <v>11</v>
      </c>
      <c r="K464" t="n">
        <v>14.5</v>
      </c>
      <c r="L464" t="inlineStr">
        <is>
          <t>Interpolado Microphen ISO100</t>
        </is>
      </c>
    </row>
    <row r="465">
      <c r="A465" t="inlineStr">
        <is>
          <t>Adox CHS 100 II</t>
        </is>
      </c>
      <c r="B465" t="n">
        <v>100</v>
      </c>
      <c r="C465" t="inlineStr">
        <is>
          <t>Perceptol</t>
        </is>
      </c>
      <c r="D465" t="inlineStr">
        <is>
          <t>Stock</t>
        </is>
      </c>
      <c r="F465" t="n">
        <v>9</v>
      </c>
      <c r="I465" t="n">
        <v>11.5</v>
      </c>
      <c r="J465" t="n">
        <v>15</v>
      </c>
      <c r="K465" t="n">
        <v>19.5</v>
      </c>
      <c r="L465" t="inlineStr">
        <is>
          <t>Interpolado Perceptol ISO100</t>
        </is>
      </c>
    </row>
    <row r="466">
      <c r="A466" t="inlineStr">
        <is>
          <t>Adox CHS 100 II</t>
        </is>
      </c>
      <c r="B466" t="n">
        <v>100</v>
      </c>
      <c r="C466" t="inlineStr">
        <is>
          <t>Ilfotec DD-X</t>
        </is>
      </c>
      <c r="D466" t="inlineStr">
        <is>
          <t>1+4</t>
        </is>
      </c>
      <c r="F466" t="n">
        <v>8</v>
      </c>
      <c r="I466" t="n">
        <v>10.5</v>
      </c>
      <c r="J466" t="n">
        <v>13.5</v>
      </c>
      <c r="K466" t="n">
        <v>17.5</v>
      </c>
      <c r="L466" t="inlineStr">
        <is>
          <t>Interpolado DD-X ISO100</t>
        </is>
      </c>
    </row>
    <row r="467">
      <c r="A467" t="inlineStr">
        <is>
          <t>Fuji Neopan Acros 100 II</t>
        </is>
      </c>
      <c r="B467" t="n">
        <v>100</v>
      </c>
      <c r="C467" t="inlineStr">
        <is>
          <t>Microphen</t>
        </is>
      </c>
      <c r="D467" t="inlineStr">
        <is>
          <t>Stock</t>
        </is>
      </c>
      <c r="F467" t="n">
        <v>7</v>
      </c>
      <c r="I467" t="n">
        <v>9</v>
      </c>
      <c r="J467" t="n">
        <v>11.5</v>
      </c>
      <c r="K467" t="n">
        <v>15</v>
      </c>
      <c r="L467" t="inlineStr">
        <is>
          <t>Interpolado basado en ISO100 films</t>
        </is>
      </c>
    </row>
    <row r="468">
      <c r="A468" t="inlineStr">
        <is>
          <t>Fuji Neopan Acros 100 II</t>
        </is>
      </c>
      <c r="B468" t="n">
        <v>100</v>
      </c>
      <c r="C468" t="inlineStr">
        <is>
          <t>Perceptol</t>
        </is>
      </c>
      <c r="D468" t="inlineStr">
        <is>
          <t>Stock</t>
        </is>
      </c>
      <c r="F468" t="n">
        <v>9</v>
      </c>
      <c r="I468" t="n">
        <v>11.5</v>
      </c>
      <c r="J468" t="n">
        <v>15</v>
      </c>
      <c r="K468" t="n">
        <v>19.5</v>
      </c>
      <c r="L468" t="inlineStr">
        <is>
          <t>Interpolado Perceptol ISO100</t>
        </is>
      </c>
    </row>
    <row r="469">
      <c r="A469" t="inlineStr">
        <is>
          <t>Fuji Neopan Acros 100 II</t>
        </is>
      </c>
      <c r="B469" t="n">
        <v>100</v>
      </c>
      <c r="C469" t="inlineStr">
        <is>
          <t>Ilfotec DD-X</t>
        </is>
      </c>
      <c r="D469" t="inlineStr">
        <is>
          <t>1+4</t>
        </is>
      </c>
      <c r="F469" t="n">
        <v>8</v>
      </c>
      <c r="I469" t="n">
        <v>10.5</v>
      </c>
      <c r="J469" t="n">
        <v>13.5</v>
      </c>
      <c r="K469" t="n">
        <v>17.5</v>
      </c>
      <c r="L469" t="inlineStr">
        <is>
          <t>Interpolado DD-X ISO100</t>
        </is>
      </c>
    </row>
    <row r="470">
      <c r="A470" t="inlineStr">
        <is>
          <t>Fuji Neopan Acros 100 II</t>
        </is>
      </c>
      <c r="B470" t="n">
        <v>100</v>
      </c>
      <c r="C470" t="inlineStr">
        <is>
          <t>Ilfosol 3</t>
        </is>
      </c>
      <c r="D470" t="inlineStr">
        <is>
          <t>1+9</t>
        </is>
      </c>
      <c r="F470" t="n">
        <v>5.5</v>
      </c>
      <c r="I470" t="n">
        <v>7</v>
      </c>
      <c r="J470" t="n">
        <v>9</v>
      </c>
      <c r="K470" t="n">
        <v>11.5</v>
      </c>
      <c r="L470" t="inlineStr">
        <is>
          <t>Interpolado Ilfosol 3 ISO100</t>
        </is>
      </c>
    </row>
    <row r="471">
      <c r="A471" t="inlineStr">
        <is>
          <t>Fuji Neopan Acros 100 II</t>
        </is>
      </c>
      <c r="B471" t="n">
        <v>100</v>
      </c>
      <c r="C471" t="inlineStr">
        <is>
          <t>Ilfotec HC</t>
        </is>
      </c>
      <c r="D471" t="inlineStr">
        <is>
          <t>1+31 (Dil.B)</t>
        </is>
      </c>
      <c r="F471" t="n">
        <v>6</v>
      </c>
      <c r="I471" t="n">
        <v>8</v>
      </c>
      <c r="J471" t="n">
        <v>10.5</v>
      </c>
      <c r="K471" t="n">
        <v>13.5</v>
      </c>
      <c r="L471" t="inlineStr">
        <is>
          <t>Interpolado IlfotecHC ISO100</t>
        </is>
      </c>
    </row>
    <row r="472">
      <c r="A472" t="inlineStr">
        <is>
          <t>Ilford SFX 200</t>
        </is>
      </c>
      <c r="B472" t="n">
        <v>200</v>
      </c>
      <c r="C472" t="inlineStr">
        <is>
          <t>Microphen</t>
        </is>
      </c>
      <c r="D472" t="inlineStr">
        <is>
          <t>Stock</t>
        </is>
      </c>
      <c r="F472" t="n">
        <v>9</v>
      </c>
      <c r="I472" t="n">
        <v>11</v>
      </c>
      <c r="J472" t="n">
        <v>14</v>
      </c>
      <c r="K472" t="n">
        <v>18</v>
      </c>
      <c r="L472" t="inlineStr">
        <is>
          <t>Ilford chart SFX Microphen</t>
        </is>
      </c>
    </row>
    <row r="473">
      <c r="A473" t="inlineStr">
        <is>
          <t>Ilford SFX 200</t>
        </is>
      </c>
      <c r="B473" t="n">
        <v>200</v>
      </c>
      <c r="C473" t="inlineStr">
        <is>
          <t>Ilfosol 3</t>
        </is>
      </c>
      <c r="D473" t="inlineStr">
        <is>
          <t>1+9</t>
        </is>
      </c>
      <c r="F473" t="n">
        <v>6.5</v>
      </c>
      <c r="I473" t="n">
        <v>8.5</v>
      </c>
      <c r="J473" t="n">
        <v>11</v>
      </c>
      <c r="K473" t="n">
        <v>14.5</v>
      </c>
      <c r="L473" t="inlineStr">
        <is>
          <t>Ilford chart SFX Ilfosol 3</t>
        </is>
      </c>
    </row>
    <row r="474">
      <c r="A474" t="inlineStr">
        <is>
          <t>Ilford SFX 200</t>
        </is>
      </c>
      <c r="B474" t="n">
        <v>200</v>
      </c>
      <c r="C474" t="inlineStr">
        <is>
          <t>Perceptol</t>
        </is>
      </c>
      <c r="D474" t="inlineStr">
        <is>
          <t>Stock</t>
        </is>
      </c>
      <c r="F474" t="n">
        <v>13</v>
      </c>
      <c r="I474" t="n">
        <v>17</v>
      </c>
      <c r="J474" t="n">
        <v>22</v>
      </c>
      <c r="K474" t="n">
        <v>28.5</v>
      </c>
      <c r="L474" t="inlineStr">
        <is>
          <t>Ilford chart SFX Perceptol</t>
        </is>
      </c>
    </row>
    <row r="475">
      <c r="A475" t="inlineStr">
        <is>
          <t>Ilford SFX 200</t>
        </is>
      </c>
      <c r="B475" t="n">
        <v>200</v>
      </c>
      <c r="C475" t="inlineStr">
        <is>
          <t>Ilfotec HC</t>
        </is>
      </c>
      <c r="D475" t="inlineStr">
        <is>
          <t>1+31 (Dil.B)</t>
        </is>
      </c>
      <c r="F475" t="n">
        <v>9.5</v>
      </c>
      <c r="I475" t="n">
        <v>13.5</v>
      </c>
      <c r="J475" t="n">
        <v>17.5</v>
      </c>
      <c r="K475" t="n">
        <v>23</v>
      </c>
      <c r="L475" t="inlineStr">
        <is>
          <t>Ilford chart SFX Ilfotec HC</t>
        </is>
      </c>
    </row>
    <row r="476">
      <c r="A476" t="inlineStr">
        <is>
          <t>Ilford SFX 200</t>
        </is>
      </c>
      <c r="B476" t="n">
        <v>200</v>
      </c>
      <c r="C476" t="inlineStr">
        <is>
          <t>Ilfotec LC29</t>
        </is>
      </c>
      <c r="D476" t="inlineStr">
        <is>
          <t>1+19</t>
        </is>
      </c>
      <c r="F476" t="n">
        <v>6</v>
      </c>
      <c r="I476" t="n">
        <v>8</v>
      </c>
      <c r="J476" t="n">
        <v>10.5</v>
      </c>
      <c r="K476" t="n">
        <v>13.5</v>
      </c>
      <c r="L476" t="inlineStr">
        <is>
          <t>Ilford chart SFX LC29</t>
        </is>
      </c>
    </row>
    <row r="477">
      <c r="A477" t="inlineStr">
        <is>
          <t>Bergger Pancro 400</t>
        </is>
      </c>
      <c r="B477" t="n">
        <v>400</v>
      </c>
      <c r="C477" t="inlineStr">
        <is>
          <t>ID-11</t>
        </is>
      </c>
      <c r="D477" t="inlineStr">
        <is>
          <t>Stock</t>
        </is>
      </c>
      <c r="F477" t="n">
        <v>9</v>
      </c>
      <c r="I477" t="n">
        <v>11.5</v>
      </c>
      <c r="J477" t="n">
        <v>15</v>
      </c>
      <c r="K477" t="n">
        <v>19.5</v>
      </c>
      <c r="L477" t="inlineStr">
        <is>
          <t>Bergger/Firstcall oficial</t>
        </is>
      </c>
    </row>
    <row r="478">
      <c r="A478" t="inlineStr">
        <is>
          <t>Bergger Pancro 400</t>
        </is>
      </c>
      <c r="B478" t="n">
        <v>400</v>
      </c>
      <c r="C478" t="inlineStr">
        <is>
          <t>ID-11</t>
        </is>
      </c>
      <c r="D478" t="inlineStr">
        <is>
          <t>1+1</t>
        </is>
      </c>
      <c r="F478" t="n">
        <v>17</v>
      </c>
      <c r="I478" t="n">
        <v>22</v>
      </c>
      <c r="J478" t="n">
        <v>28.5</v>
      </c>
      <c r="K478" t="n">
        <v>37</v>
      </c>
      <c r="L478" t="inlineStr">
        <is>
          <t>Bergger/Firstcall oficial</t>
        </is>
      </c>
    </row>
    <row r="479">
      <c r="A479" t="inlineStr">
        <is>
          <t>Bergger Pancro 400</t>
        </is>
      </c>
      <c r="B479" t="n">
        <v>400</v>
      </c>
      <c r="C479" t="inlineStr">
        <is>
          <t>XTOL</t>
        </is>
      </c>
      <c r="D479" t="inlineStr">
        <is>
          <t>1+1</t>
        </is>
      </c>
      <c r="F479" t="n">
        <v>18</v>
      </c>
      <c r="I479" t="n">
        <v>23.5</v>
      </c>
      <c r="J479" t="n">
        <v>30.5</v>
      </c>
      <c r="K479" t="n">
        <v>39.5</v>
      </c>
      <c r="L479" t="inlineStr">
        <is>
          <t>Bergger/Firstcall oficial</t>
        </is>
      </c>
    </row>
    <row r="480">
      <c r="A480" t="inlineStr">
        <is>
          <t>Bergger Pancro 400</t>
        </is>
      </c>
      <c r="B480" t="n">
        <v>400</v>
      </c>
      <c r="C480" t="inlineStr">
        <is>
          <t>Microphen</t>
        </is>
      </c>
      <c r="D480" t="inlineStr">
        <is>
          <t>Stock</t>
        </is>
      </c>
      <c r="F480" t="n">
        <v>11</v>
      </c>
      <c r="I480" t="n">
        <v>14.5</v>
      </c>
      <c r="J480" t="n">
        <v>19</v>
      </c>
      <c r="K480" t="n">
        <v>24.5</v>
      </c>
      <c r="L480" t="inlineStr">
        <is>
          <t>Bergger Berspeed datasheet ref.</t>
        </is>
      </c>
    </row>
    <row r="481">
      <c r="A481" t="inlineStr">
        <is>
          <t>Bergger Pancro 400</t>
        </is>
      </c>
      <c r="B481" t="n">
        <v>400</v>
      </c>
      <c r="C481" t="inlineStr">
        <is>
          <t>Microphen</t>
        </is>
      </c>
      <c r="D481" t="inlineStr">
        <is>
          <t>1+1</t>
        </is>
      </c>
      <c r="F481" t="n">
        <v>12</v>
      </c>
      <c r="I481" t="n">
        <v>15.5</v>
      </c>
      <c r="J481" t="n">
        <v>20</v>
      </c>
      <c r="K481" t="n">
        <v>26</v>
      </c>
      <c r="L481" t="inlineStr">
        <is>
          <t>Bergger Berspeed datasheet ref.</t>
        </is>
      </c>
    </row>
    <row r="482">
      <c r="A482" t="inlineStr">
        <is>
          <t>Bergger Pancro 400</t>
        </is>
      </c>
      <c r="B482" t="n">
        <v>400</v>
      </c>
      <c r="C482" t="inlineStr">
        <is>
          <t>Ilfosol 3</t>
        </is>
      </c>
      <c r="D482" t="inlineStr">
        <is>
          <t>1+9</t>
        </is>
      </c>
      <c r="F482" t="n">
        <v>7</v>
      </c>
      <c r="I482" t="n">
        <v>9</v>
      </c>
      <c r="J482" t="n">
        <v>11.5</v>
      </c>
      <c r="K482" t="n">
        <v>15</v>
      </c>
      <c r="L482" t="inlineStr">
        <is>
          <t>Interpolado Ilfosol 3 ISO400</t>
        </is>
      </c>
    </row>
    <row r="483">
      <c r="A483" t="inlineStr">
        <is>
          <t>Bergger Pancro 400</t>
        </is>
      </c>
      <c r="B483" t="n">
        <v>400</v>
      </c>
      <c r="C483" t="inlineStr">
        <is>
          <t>Ilfotec DD-X</t>
        </is>
      </c>
      <c r="D483" t="inlineStr">
        <is>
          <t>1+4</t>
        </is>
      </c>
      <c r="F483" t="n">
        <v>9</v>
      </c>
      <c r="I483" t="n">
        <v>11.5</v>
      </c>
      <c r="J483" t="n">
        <v>15</v>
      </c>
      <c r="K483" t="n">
        <v>19.5</v>
      </c>
      <c r="L483" t="inlineStr">
        <is>
          <t>Interpolado DD-X ISO400</t>
        </is>
      </c>
    </row>
    <row r="484">
      <c r="A484" t="inlineStr">
        <is>
          <t>Bergger Pancro 400</t>
        </is>
      </c>
      <c r="B484" t="n">
        <v>400</v>
      </c>
      <c r="C484" t="inlineStr">
        <is>
          <t>Perceptol</t>
        </is>
      </c>
      <c r="D484" t="inlineStr">
        <is>
          <t>1+1</t>
        </is>
      </c>
      <c r="F484" t="n">
        <v>20</v>
      </c>
      <c r="I484" t="n">
        <v>26</v>
      </c>
      <c r="J484" t="n">
        <v>34</v>
      </c>
      <c r="K484" t="n">
        <v>44</v>
      </c>
      <c r="L484" t="inlineStr">
        <is>
          <t>Interpolado Perceptol ISO400</t>
        </is>
      </c>
    </row>
    <row r="485">
      <c r="A485" t="inlineStr">
        <is>
          <t>Ilford HP5 Plus</t>
        </is>
      </c>
      <c r="B485" t="n">
        <v>400</v>
      </c>
      <c r="C485" t="inlineStr">
        <is>
          <t>Rodinal</t>
        </is>
      </c>
      <c r="D485" t="inlineStr">
        <is>
          <t>1+100</t>
        </is>
      </c>
      <c r="F485" t="n">
        <v>22.5</v>
      </c>
      <c r="I485" t="n">
        <v>29</v>
      </c>
      <c r="J485" t="n">
        <v>37.5</v>
      </c>
      <c r="K485" t="n">
        <v>49</v>
      </c>
      <c r="L485" t="inlineStr">
        <is>
          <t>Calculado 1+50×1.5 · stand=60min (Agfa/Adox)</t>
        </is>
      </c>
    </row>
    <row r="486">
      <c r="A486" t="inlineStr">
        <is>
          <t>Ilford HP5 Plus</t>
        </is>
      </c>
      <c r="B486" t="n">
        <v>400</v>
      </c>
      <c r="C486" t="inlineStr">
        <is>
          <t>Rodinal</t>
        </is>
      </c>
      <c r="D486" t="inlineStr">
        <is>
          <t>1+200</t>
        </is>
      </c>
      <c r="F486" t="n">
        <v>30</v>
      </c>
      <c r="I486" t="n">
        <v>39</v>
      </c>
      <c r="J486" t="n">
        <v>50.5</v>
      </c>
      <c r="K486" t="n">
        <v>65.5</v>
      </c>
      <c r="L486" t="inlineStr">
        <is>
          <t>Calculado 1+50×2.0 · stand=120min (comunidad)</t>
        </is>
      </c>
    </row>
    <row r="487">
      <c r="A487" t="inlineStr">
        <is>
          <t>Ilford FP4 Plus</t>
        </is>
      </c>
      <c r="B487" t="n">
        <v>125</v>
      </c>
      <c r="C487" t="inlineStr">
        <is>
          <t>Rodinal</t>
        </is>
      </c>
      <c r="D487" t="inlineStr">
        <is>
          <t>1+100</t>
        </is>
      </c>
      <c r="F487" t="n">
        <v>16.5</v>
      </c>
      <c r="I487" t="n">
        <v>21.5</v>
      </c>
      <c r="J487" t="n">
        <v>28</v>
      </c>
      <c r="K487" t="n">
        <v>36.5</v>
      </c>
      <c r="L487" t="inlineStr">
        <is>
          <t>Calculado 1+50×1.5 · stand=60min (Agfa/Adox)</t>
        </is>
      </c>
    </row>
    <row r="488">
      <c r="A488" t="inlineStr">
        <is>
          <t>Ilford FP4 Plus</t>
        </is>
      </c>
      <c r="B488" t="n">
        <v>125</v>
      </c>
      <c r="C488" t="inlineStr">
        <is>
          <t>Rodinal</t>
        </is>
      </c>
      <c r="D488" t="inlineStr">
        <is>
          <t>1+200</t>
        </is>
      </c>
      <c r="F488" t="n">
        <v>22</v>
      </c>
      <c r="I488" t="n">
        <v>28.5</v>
      </c>
      <c r="J488" t="n">
        <v>37</v>
      </c>
      <c r="K488" t="n">
        <v>48</v>
      </c>
      <c r="L488" t="inlineStr">
        <is>
          <t>Calculado 1+50×2.0 · stand=120min (comunidad)</t>
        </is>
      </c>
    </row>
    <row r="489">
      <c r="A489" t="inlineStr">
        <is>
          <t>Ilford Delta 100</t>
        </is>
      </c>
      <c r="B489" t="n">
        <v>100</v>
      </c>
      <c r="C489" t="inlineStr">
        <is>
          <t>Rodinal</t>
        </is>
      </c>
      <c r="D489" t="inlineStr">
        <is>
          <t>1+100</t>
        </is>
      </c>
      <c r="F489" t="n">
        <v>15</v>
      </c>
      <c r="I489" t="n">
        <v>19</v>
      </c>
      <c r="J489" t="n">
        <v>24</v>
      </c>
      <c r="K489" t="n">
        <v>30</v>
      </c>
      <c r="L489" t="inlineStr">
        <is>
          <t>Calculado 1+50×1.5 · stand=60min (Agfa/Adox)</t>
        </is>
      </c>
    </row>
    <row r="490">
      <c r="A490" t="inlineStr">
        <is>
          <t>Ilford Delta 100</t>
        </is>
      </c>
      <c r="B490" t="n">
        <v>100</v>
      </c>
      <c r="C490" t="inlineStr">
        <is>
          <t>Rodinal</t>
        </is>
      </c>
      <c r="D490" t="inlineStr">
        <is>
          <t>1+200</t>
        </is>
      </c>
      <c r="F490" t="n">
        <v>20</v>
      </c>
      <c r="I490" t="n">
        <v>25</v>
      </c>
      <c r="J490" t="n">
        <v>31</v>
      </c>
      <c r="K490" t="n">
        <v>39</v>
      </c>
      <c r="L490" t="inlineStr">
        <is>
          <t>Calculado 1+50×2.0 · stand=120min (comunidad)</t>
        </is>
      </c>
    </row>
    <row r="491">
      <c r="A491" t="inlineStr">
        <is>
          <t>Ilford Pan F Plus</t>
        </is>
      </c>
      <c r="B491" t="n">
        <v>50</v>
      </c>
      <c r="C491" t="inlineStr">
        <is>
          <t>Rodinal</t>
        </is>
      </c>
      <c r="D491" t="inlineStr">
        <is>
          <t>1+100</t>
        </is>
      </c>
      <c r="F491" t="n">
        <v>9</v>
      </c>
      <c r="I491" t="n">
        <v>11.5</v>
      </c>
      <c r="J491" t="n">
        <v>15</v>
      </c>
      <c r="K491" t="n">
        <v>19.5</v>
      </c>
      <c r="L491" t="inlineStr">
        <is>
          <t>Calculado 1+50×1.5 · stand=60min (Agfa/Adox)</t>
        </is>
      </c>
    </row>
    <row r="492">
      <c r="A492" t="inlineStr">
        <is>
          <t>Ilford Pan F Plus</t>
        </is>
      </c>
      <c r="B492" t="n">
        <v>50</v>
      </c>
      <c r="C492" t="inlineStr">
        <is>
          <t>Rodinal</t>
        </is>
      </c>
      <c r="D492" t="inlineStr">
        <is>
          <t>1+200</t>
        </is>
      </c>
      <c r="F492" t="n">
        <v>12</v>
      </c>
      <c r="I492" t="n">
        <v>15.5</v>
      </c>
      <c r="J492" t="n">
        <v>20</v>
      </c>
      <c r="K492" t="n">
        <v>26</v>
      </c>
      <c r="L492" t="inlineStr">
        <is>
          <t>Calculado 1+50×2.0 · stand=120min (comunidad)</t>
        </is>
      </c>
    </row>
    <row r="493">
      <c r="A493" t="inlineStr">
        <is>
          <t>Fomapan 100</t>
        </is>
      </c>
      <c r="B493" t="n">
        <v>100</v>
      </c>
      <c r="C493" t="inlineStr">
        <is>
          <t>Rodinal</t>
        </is>
      </c>
      <c r="D493" t="inlineStr">
        <is>
          <t>1+200</t>
        </is>
      </c>
      <c r="F493" t="n">
        <v>20</v>
      </c>
      <c r="I493" t="n">
        <v>26</v>
      </c>
      <c r="J493" t="n">
        <v>34</v>
      </c>
      <c r="K493" t="n">
        <v>44</v>
      </c>
      <c r="L493" t="inlineStr">
        <is>
          <t>Calculado 1+50×2.0 · stand=120min (comunidad)</t>
        </is>
      </c>
    </row>
    <row r="494">
      <c r="A494" t="inlineStr">
        <is>
          <t>Fomapan 200</t>
        </is>
      </c>
      <c r="B494" t="n">
        <v>200</v>
      </c>
      <c r="C494" t="inlineStr">
        <is>
          <t>Rodinal</t>
        </is>
      </c>
      <c r="D494" t="inlineStr">
        <is>
          <t>1+100</t>
        </is>
      </c>
      <c r="F494" t="n">
        <v>18</v>
      </c>
      <c r="I494" t="n">
        <v>23.5</v>
      </c>
      <c r="J494" t="n">
        <v>30.5</v>
      </c>
      <c r="K494" t="n">
        <v>39.5</v>
      </c>
      <c r="L494" t="inlineStr">
        <is>
          <t>Calculado 1+50×1.5 · stand=60min (Agfa/Adox)</t>
        </is>
      </c>
    </row>
    <row r="495">
      <c r="A495" t="inlineStr">
        <is>
          <t>Fomapan 200</t>
        </is>
      </c>
      <c r="B495" t="n">
        <v>200</v>
      </c>
      <c r="C495" t="inlineStr">
        <is>
          <t>Rodinal</t>
        </is>
      </c>
      <c r="D495" t="inlineStr">
        <is>
          <t>1+200</t>
        </is>
      </c>
      <c r="F495" t="n">
        <v>24</v>
      </c>
      <c r="I495" t="n">
        <v>31</v>
      </c>
      <c r="J495" t="n">
        <v>40.5</v>
      </c>
      <c r="K495" t="n">
        <v>52.5</v>
      </c>
      <c r="L495" t="inlineStr">
        <is>
          <t>Calculado 1+50×2.0 · stand=120min (comunidad)</t>
        </is>
      </c>
    </row>
    <row r="496">
      <c r="A496" t="inlineStr">
        <is>
          <t>Fomapan 400</t>
        </is>
      </c>
      <c r="B496" t="n">
        <v>400</v>
      </c>
      <c r="C496" t="inlineStr">
        <is>
          <t>Rodinal</t>
        </is>
      </c>
      <c r="D496" t="inlineStr">
        <is>
          <t>1+100</t>
        </is>
      </c>
      <c r="F496" t="n">
        <v>19.5</v>
      </c>
      <c r="I496" t="n">
        <v>25.5</v>
      </c>
      <c r="J496" t="n">
        <v>33</v>
      </c>
      <c r="K496" t="n">
        <v>43</v>
      </c>
      <c r="L496" t="inlineStr">
        <is>
          <t>Calculado 1+50×1.5 · stand=60min (Agfa/Adox)</t>
        </is>
      </c>
    </row>
    <row r="497">
      <c r="A497" t="inlineStr">
        <is>
          <t>Fomapan 400</t>
        </is>
      </c>
      <c r="B497" t="n">
        <v>400</v>
      </c>
      <c r="C497" t="inlineStr">
        <is>
          <t>Rodinal</t>
        </is>
      </c>
      <c r="D497" t="inlineStr">
        <is>
          <t>1+200</t>
        </is>
      </c>
      <c r="F497" t="n">
        <v>26</v>
      </c>
      <c r="I497" t="n">
        <v>34</v>
      </c>
      <c r="J497" t="n">
        <v>44</v>
      </c>
      <c r="K497" t="n">
        <v>57</v>
      </c>
      <c r="L497" t="inlineStr">
        <is>
          <t>Calculado 1+50×2.0 · stand=120min (comunidad)</t>
        </is>
      </c>
    </row>
    <row r="498">
      <c r="A498" t="inlineStr">
        <is>
          <t>Foma Retropan 320</t>
        </is>
      </c>
      <c r="B498" t="n">
        <v>320</v>
      </c>
      <c r="C498" t="inlineStr">
        <is>
          <t>Rodinal</t>
        </is>
      </c>
      <c r="D498" t="inlineStr">
        <is>
          <t>1+100</t>
        </is>
      </c>
      <c r="F498" t="n">
        <v>21</v>
      </c>
      <c r="I498" t="n">
        <v>27.5</v>
      </c>
      <c r="J498" t="n">
        <v>36</v>
      </c>
      <c r="K498" t="n">
        <v>47</v>
      </c>
      <c r="L498" t="inlineStr">
        <is>
          <t>Calculado 1+50×1.5 · stand=60min (Agfa/Adox)</t>
        </is>
      </c>
    </row>
    <row r="499">
      <c r="A499" t="inlineStr">
        <is>
          <t>Foma Retropan 320</t>
        </is>
      </c>
      <c r="B499" t="n">
        <v>320</v>
      </c>
      <c r="C499" t="inlineStr">
        <is>
          <t>Rodinal</t>
        </is>
      </c>
      <c r="D499" t="inlineStr">
        <is>
          <t>1+200</t>
        </is>
      </c>
      <c r="F499" t="n">
        <v>28</v>
      </c>
      <c r="I499" t="n">
        <v>36.5</v>
      </c>
      <c r="J499" t="n">
        <v>47.5</v>
      </c>
      <c r="K499" t="n">
        <v>62</v>
      </c>
      <c r="L499" t="inlineStr">
        <is>
          <t>Calculado 1+50×2.0 · stand=120min (comunidad)</t>
        </is>
      </c>
    </row>
    <row r="500">
      <c r="A500" t="inlineStr">
        <is>
          <t>Fuji Neopan Acros 100 II</t>
        </is>
      </c>
      <c r="B500" t="n">
        <v>100</v>
      </c>
      <c r="C500" t="inlineStr">
        <is>
          <t>Rodinal</t>
        </is>
      </c>
      <c r="D500" t="inlineStr">
        <is>
          <t>1+100</t>
        </is>
      </c>
      <c r="F500" t="n">
        <v>18</v>
      </c>
      <c r="I500" t="n">
        <v>23.5</v>
      </c>
      <c r="J500" t="n">
        <v>30.5</v>
      </c>
      <c r="K500" t="n">
        <v>39.5</v>
      </c>
      <c r="L500" t="inlineStr">
        <is>
          <t>Calculado 1+50×1.5 · stand=60min (Agfa/Adox)</t>
        </is>
      </c>
    </row>
    <row r="501">
      <c r="A501" t="inlineStr">
        <is>
          <t>Fuji Neopan Acros 100 II</t>
        </is>
      </c>
      <c r="B501" t="n">
        <v>100</v>
      </c>
      <c r="C501" t="inlineStr">
        <is>
          <t>Rodinal</t>
        </is>
      </c>
      <c r="D501" t="inlineStr">
        <is>
          <t>1+200</t>
        </is>
      </c>
      <c r="F501" t="n">
        <v>24</v>
      </c>
      <c r="I501" t="n">
        <v>31</v>
      </c>
      <c r="J501" t="n">
        <v>40.5</v>
      </c>
      <c r="K501" t="n">
        <v>52.5</v>
      </c>
      <c r="L501" t="inlineStr">
        <is>
          <t>Calculado 1+50×2.0 · stand=120min (comunidad)</t>
        </is>
      </c>
    </row>
    <row r="502">
      <c r="A502" t="inlineStr">
        <is>
          <t>Adox CHS 100 II</t>
        </is>
      </c>
      <c r="B502" t="n">
        <v>100</v>
      </c>
      <c r="C502" t="inlineStr">
        <is>
          <t>Rodinal</t>
        </is>
      </c>
      <c r="D502" t="inlineStr">
        <is>
          <t>1+100</t>
        </is>
      </c>
      <c r="F502" t="n">
        <v>19.5</v>
      </c>
      <c r="I502" t="n">
        <v>25.5</v>
      </c>
      <c r="J502" t="n">
        <v>33</v>
      </c>
      <c r="K502" t="n">
        <v>43</v>
      </c>
      <c r="L502" t="inlineStr">
        <is>
          <t>Calculado 1+50×1.5 · stand=60min (Agfa/Adox)</t>
        </is>
      </c>
    </row>
    <row r="503">
      <c r="A503" t="inlineStr">
        <is>
          <t>Adox CHS 100 II</t>
        </is>
      </c>
      <c r="B503" t="n">
        <v>100</v>
      </c>
      <c r="C503" t="inlineStr">
        <is>
          <t>Rodinal</t>
        </is>
      </c>
      <c r="D503" t="inlineStr">
        <is>
          <t>1+200</t>
        </is>
      </c>
      <c r="F503" t="n">
        <v>26</v>
      </c>
      <c r="I503" t="n">
        <v>34</v>
      </c>
      <c r="J503" t="n">
        <v>44</v>
      </c>
      <c r="K503" t="n">
        <v>57</v>
      </c>
      <c r="L503" t="inlineStr">
        <is>
          <t>Calculado 1+50×2.0 · stand=120min (comunidad)</t>
        </is>
      </c>
    </row>
    <row r="504">
      <c r="A504" t="inlineStr">
        <is>
          <t>Adox Silvermax 100</t>
        </is>
      </c>
      <c r="B504" t="n">
        <v>100</v>
      </c>
      <c r="C504" t="inlineStr">
        <is>
          <t>Rodinal</t>
        </is>
      </c>
      <c r="D504" t="inlineStr">
        <is>
          <t>1+100</t>
        </is>
      </c>
      <c r="F504" t="n">
        <v>18</v>
      </c>
      <c r="I504" t="n">
        <v>23.5</v>
      </c>
      <c r="J504" t="n">
        <v>30.5</v>
      </c>
      <c r="K504" t="n">
        <v>39.5</v>
      </c>
      <c r="L504" t="inlineStr">
        <is>
          <t>Calculado 1+50×1.5 · stand=60min (Agfa/Adox)</t>
        </is>
      </c>
    </row>
    <row r="505">
      <c r="A505" t="inlineStr">
        <is>
          <t>Adox Silvermax 100</t>
        </is>
      </c>
      <c r="B505" t="n">
        <v>100</v>
      </c>
      <c r="C505" t="inlineStr">
        <is>
          <t>Rodinal</t>
        </is>
      </c>
      <c r="D505" t="inlineStr">
        <is>
          <t>1+200</t>
        </is>
      </c>
      <c r="F505" t="n">
        <v>24</v>
      </c>
      <c r="I505" t="n">
        <v>31</v>
      </c>
      <c r="J505" t="n">
        <v>40.5</v>
      </c>
      <c r="K505" t="n">
        <v>52.5</v>
      </c>
      <c r="L505" t="inlineStr">
        <is>
          <t>Calculado 1+50×2.0 · stand=120min (comunidad)</t>
        </is>
      </c>
    </row>
    <row r="506">
      <c r="A506" t="inlineStr">
        <is>
          <t>Bergger Pancro 400</t>
        </is>
      </c>
      <c r="B506" t="n">
        <v>400</v>
      </c>
      <c r="C506" t="inlineStr">
        <is>
          <t>Rodinal</t>
        </is>
      </c>
      <c r="D506" t="inlineStr">
        <is>
          <t>1+100</t>
        </is>
      </c>
      <c r="F506" t="n">
        <v>22.5</v>
      </c>
      <c r="I506" t="n">
        <v>29</v>
      </c>
      <c r="J506" t="n">
        <v>37.5</v>
      </c>
      <c r="K506" t="n">
        <v>49</v>
      </c>
      <c r="L506" t="inlineStr">
        <is>
          <t>Calculado 1+50×1.5 · stand=60min (Agfa/Adox)</t>
        </is>
      </c>
    </row>
    <row r="507">
      <c r="A507" t="inlineStr">
        <is>
          <t>Bergger Pancro 400</t>
        </is>
      </c>
      <c r="B507" t="n">
        <v>400</v>
      </c>
      <c r="C507" t="inlineStr">
        <is>
          <t>Rodinal</t>
        </is>
      </c>
      <c r="D507" t="inlineStr">
        <is>
          <t>1+200</t>
        </is>
      </c>
      <c r="F507" t="n">
        <v>30</v>
      </c>
      <c r="I507" t="n">
        <v>39</v>
      </c>
      <c r="J507" t="n">
        <v>50.5</v>
      </c>
      <c r="K507" t="n">
        <v>65.5</v>
      </c>
      <c r="L507" t="inlineStr">
        <is>
          <t>Calculado 1+50×2.0 · stand=120min (comunidad)</t>
        </is>
      </c>
    </row>
    <row r="508">
      <c r="A508" t="inlineStr">
        <is>
          <t>Rollei RPX 100</t>
        </is>
      </c>
      <c r="B508" t="n">
        <v>100</v>
      </c>
      <c r="C508" t="inlineStr">
        <is>
          <t>Rodinal</t>
        </is>
      </c>
      <c r="D508" t="inlineStr">
        <is>
          <t>1+100</t>
        </is>
      </c>
      <c r="F508" t="n">
        <v>16.5</v>
      </c>
      <c r="I508" t="n">
        <v>21.5</v>
      </c>
      <c r="J508" t="n">
        <v>28</v>
      </c>
      <c r="K508" t="n">
        <v>36.5</v>
      </c>
      <c r="L508" t="inlineStr">
        <is>
          <t>Calculado 1+50×1.5 · stand=60min (Agfa/Adox)</t>
        </is>
      </c>
    </row>
    <row r="509">
      <c r="A509" t="inlineStr">
        <is>
          <t>Rollei RPX 100</t>
        </is>
      </c>
      <c r="B509" t="n">
        <v>100</v>
      </c>
      <c r="C509" t="inlineStr">
        <is>
          <t>Rodinal</t>
        </is>
      </c>
      <c r="D509" t="inlineStr">
        <is>
          <t>1+200</t>
        </is>
      </c>
      <c r="F509" t="n">
        <v>22</v>
      </c>
      <c r="I509" t="n">
        <v>28.5</v>
      </c>
      <c r="J509" t="n">
        <v>37</v>
      </c>
      <c r="K509" t="n">
        <v>48</v>
      </c>
      <c r="L509" t="inlineStr">
        <is>
          <t>Calculado 1+50×2.0 · stand=120min (comunidad)</t>
        </is>
      </c>
    </row>
    <row r="510">
      <c r="A510" t="inlineStr">
        <is>
          <t>Rollei RPX 400</t>
        </is>
      </c>
      <c r="B510" t="n">
        <v>400</v>
      </c>
      <c r="C510" t="inlineStr">
        <is>
          <t>Rodinal</t>
        </is>
      </c>
      <c r="D510" t="inlineStr">
        <is>
          <t>1+100</t>
        </is>
      </c>
      <c r="F510" t="n">
        <v>21</v>
      </c>
      <c r="I510" t="n">
        <v>27.5</v>
      </c>
      <c r="J510" t="n">
        <v>36</v>
      </c>
      <c r="K510" t="n">
        <v>47</v>
      </c>
      <c r="L510" t="inlineStr">
        <is>
          <t>Calculado 1+50×1.5 · stand=60min (Agfa/Adox)</t>
        </is>
      </c>
    </row>
    <row r="511">
      <c r="A511" t="inlineStr">
        <is>
          <t>Rollei RPX 400</t>
        </is>
      </c>
      <c r="B511" t="n">
        <v>400</v>
      </c>
      <c r="C511" t="inlineStr">
        <is>
          <t>Rodinal</t>
        </is>
      </c>
      <c r="D511" t="inlineStr">
        <is>
          <t>1+200</t>
        </is>
      </c>
      <c r="F511" t="n">
        <v>28</v>
      </c>
      <c r="I511" t="n">
        <v>36.5</v>
      </c>
      <c r="J511" t="n">
        <v>47.5</v>
      </c>
      <c r="K511" t="n">
        <v>62</v>
      </c>
      <c r="L511" t="inlineStr">
        <is>
          <t>Calculado 1+50×2.0 · stand=120min (comunidad)</t>
        </is>
      </c>
    </row>
    <row r="512">
      <c r="A512" t="inlineStr">
        <is>
          <t>Ferrania P30</t>
        </is>
      </c>
      <c r="B512" t="n">
        <v>80</v>
      </c>
      <c r="C512" t="inlineStr">
        <is>
          <t>Rodinal</t>
        </is>
      </c>
      <c r="D512" t="inlineStr">
        <is>
          <t>1+100</t>
        </is>
      </c>
      <c r="F512" t="n">
        <v>16.5</v>
      </c>
      <c r="I512" t="n">
        <v>21.5</v>
      </c>
      <c r="J512" t="n">
        <v>28</v>
      </c>
      <c r="K512" t="n">
        <v>36.5</v>
      </c>
      <c r="L512" t="inlineStr">
        <is>
          <t>Calculado 1+50×1.5 · stand=60min (Agfa/Adox)</t>
        </is>
      </c>
    </row>
    <row r="513">
      <c r="A513" t="inlineStr">
        <is>
          <t>Ferrania P30</t>
        </is>
      </c>
      <c r="B513" t="n">
        <v>80</v>
      </c>
      <c r="C513" t="inlineStr">
        <is>
          <t>Rodinal</t>
        </is>
      </c>
      <c r="D513" t="inlineStr">
        <is>
          <t>1+200</t>
        </is>
      </c>
      <c r="F513" t="n">
        <v>22</v>
      </c>
      <c r="I513" t="n">
        <v>28.5</v>
      </c>
      <c r="J513" t="n">
        <v>37</v>
      </c>
      <c r="K513" t="n">
        <v>48</v>
      </c>
      <c r="L513" t="inlineStr">
        <is>
          <t>Calculado 1+50×2.0 · stand=120min (comunidad)</t>
        </is>
      </c>
    </row>
    <row r="514">
      <c r="A514" t="inlineStr">
        <is>
          <t>Lomo Lady Grey 400</t>
        </is>
      </c>
      <c r="B514" t="n">
        <v>400</v>
      </c>
      <c r="C514" t="inlineStr">
        <is>
          <t>Rodinal</t>
        </is>
      </c>
      <c r="D514" t="inlineStr">
        <is>
          <t>1+100</t>
        </is>
      </c>
      <c r="F514" t="n">
        <v>15</v>
      </c>
      <c r="I514" t="n">
        <v>19.5</v>
      </c>
      <c r="J514" t="n">
        <v>25.5</v>
      </c>
      <c r="K514" t="n">
        <v>33</v>
      </c>
      <c r="L514" t="inlineStr">
        <is>
          <t>Calculado 1+50×1.5 · stand=60min (Agfa/Adox)</t>
        </is>
      </c>
    </row>
    <row r="515">
      <c r="A515" t="inlineStr">
        <is>
          <t>Lomo Lady Grey 400</t>
        </is>
      </c>
      <c r="B515" t="n">
        <v>400</v>
      </c>
      <c r="C515" t="inlineStr">
        <is>
          <t>Rodinal</t>
        </is>
      </c>
      <c r="D515" t="inlineStr">
        <is>
          <t>1+200</t>
        </is>
      </c>
      <c r="F515" t="n">
        <v>20</v>
      </c>
      <c r="I515" t="n">
        <v>26</v>
      </c>
      <c r="J515" t="n">
        <v>34</v>
      </c>
      <c r="K515" t="n">
        <v>44</v>
      </c>
      <c r="L515" t="inlineStr">
        <is>
          <t>Calculado 1+50×2.0 · stand=120min (comunidad)</t>
        </is>
      </c>
    </row>
    <row r="516">
      <c r="A516" t="inlineStr">
        <is>
          <t>Lomo Earl Grey 100</t>
        </is>
      </c>
      <c r="B516" t="n">
        <v>100</v>
      </c>
      <c r="C516" t="inlineStr">
        <is>
          <t>Rodinal</t>
        </is>
      </c>
      <c r="D516" t="inlineStr">
        <is>
          <t>1+100</t>
        </is>
      </c>
      <c r="F516" t="n">
        <v>12</v>
      </c>
      <c r="I516" t="n">
        <v>15.5</v>
      </c>
      <c r="J516" t="n">
        <v>20</v>
      </c>
      <c r="K516" t="n">
        <v>26</v>
      </c>
      <c r="L516" t="inlineStr">
        <is>
          <t>Calculado 1+50×1.5 · stand=60min (Agfa/Adox)</t>
        </is>
      </c>
    </row>
    <row r="517">
      <c r="A517" t="inlineStr">
        <is>
          <t>Lomo Earl Grey 100</t>
        </is>
      </c>
      <c r="B517" t="n">
        <v>100</v>
      </c>
      <c r="C517" t="inlineStr">
        <is>
          <t>Rodinal</t>
        </is>
      </c>
      <c r="D517" t="inlineStr">
        <is>
          <t>1+200</t>
        </is>
      </c>
      <c r="F517" t="n">
        <v>16</v>
      </c>
      <c r="I517" t="n">
        <v>21</v>
      </c>
      <c r="J517" t="n">
        <v>27.5</v>
      </c>
      <c r="K517" t="n">
        <v>36</v>
      </c>
      <c r="L517" t="inlineStr">
        <is>
          <t>Calculado 1+50×2.0 · stand=120min (comunidad)</t>
        </is>
      </c>
    </row>
    <row r="518">
      <c r="A518" t="inlineStr">
        <is>
          <t>Lomo Berlin Kino 400</t>
        </is>
      </c>
      <c r="B518" t="n">
        <v>400</v>
      </c>
      <c r="C518" t="inlineStr">
        <is>
          <t>Rodinal</t>
        </is>
      </c>
      <c r="D518" t="inlineStr">
        <is>
          <t>1+100</t>
        </is>
      </c>
      <c r="F518" t="n">
        <v>19.5</v>
      </c>
      <c r="I518" t="n">
        <v>25.5</v>
      </c>
      <c r="J518" t="n">
        <v>33</v>
      </c>
      <c r="K518" t="n">
        <v>43</v>
      </c>
      <c r="L518" t="inlineStr">
        <is>
          <t>Calculado 1+50×1.5 · stand=60min (Agfa/Adox)</t>
        </is>
      </c>
    </row>
    <row r="519">
      <c r="A519" t="inlineStr">
        <is>
          <t>Lomo Berlin Kino 400</t>
        </is>
      </c>
      <c r="B519" t="n">
        <v>400</v>
      </c>
      <c r="C519" t="inlineStr">
        <is>
          <t>Rodinal</t>
        </is>
      </c>
      <c r="D519" t="inlineStr">
        <is>
          <t>1+200</t>
        </is>
      </c>
      <c r="F519" t="n">
        <v>26</v>
      </c>
      <c r="I519" t="n">
        <v>34</v>
      </c>
      <c r="J519" t="n">
        <v>44</v>
      </c>
      <c r="K519" t="n">
        <v>57</v>
      </c>
      <c r="L519" t="inlineStr">
        <is>
          <t>Calculado 1+50×2.0 · stand=120min (comunidad)</t>
        </is>
      </c>
    </row>
    <row r="520">
      <c r="A520" t="inlineStr">
        <is>
          <t>Lomo Potsdam Kino 100</t>
        </is>
      </c>
      <c r="B520" t="n">
        <v>100</v>
      </c>
      <c r="C520" t="inlineStr">
        <is>
          <t>Rodinal</t>
        </is>
      </c>
      <c r="D520" t="inlineStr">
        <is>
          <t>1+100</t>
        </is>
      </c>
      <c r="F520" t="n">
        <v>14</v>
      </c>
      <c r="I520" t="n">
        <v>18</v>
      </c>
      <c r="J520" t="n">
        <v>23.5</v>
      </c>
      <c r="K520" t="n">
        <v>30.5</v>
      </c>
      <c r="L520" t="inlineStr">
        <is>
          <t>Calculado 1+50×1.5 · stand=60min (Agfa/Adox)</t>
        </is>
      </c>
    </row>
    <row r="521">
      <c r="A521" t="inlineStr">
        <is>
          <t>Lomo Potsdam Kino 100</t>
        </is>
      </c>
      <c r="B521" t="n">
        <v>100</v>
      </c>
      <c r="C521" t="inlineStr">
        <is>
          <t>Rodinal</t>
        </is>
      </c>
      <c r="D521" t="inlineStr">
        <is>
          <t>1+200</t>
        </is>
      </c>
      <c r="F521" t="n">
        <v>19</v>
      </c>
      <c r="I521" t="n">
        <v>24.5</v>
      </c>
      <c r="J521" t="n">
        <v>32</v>
      </c>
      <c r="K521" t="n">
        <v>41.5</v>
      </c>
      <c r="L521" t="inlineStr">
        <is>
          <t>Calculado 1+50×2.0 · stand=120min (comunidad)</t>
        </is>
      </c>
    </row>
    <row r="522">
      <c r="A522" t="inlineStr">
        <is>
          <t>Lomo Fantome Kino 8</t>
        </is>
      </c>
      <c r="B522" t="n">
        <v>8</v>
      </c>
      <c r="C522" t="inlineStr">
        <is>
          <t>Rodinal</t>
        </is>
      </c>
      <c r="D522" t="inlineStr">
        <is>
          <t>1+100</t>
        </is>
      </c>
      <c r="F522" t="n">
        <v>12</v>
      </c>
      <c r="I522" t="n">
        <v>15.5</v>
      </c>
      <c r="J522" t="n">
        <v>20</v>
      </c>
      <c r="K522" t="n">
        <v>26</v>
      </c>
      <c r="L522" t="inlineStr">
        <is>
          <t>Calculado 1+50×1.5 · stand=60min (Agfa/Adox)</t>
        </is>
      </c>
    </row>
    <row r="523">
      <c r="A523" t="inlineStr">
        <is>
          <t>Lomo Fantome Kino 8</t>
        </is>
      </c>
      <c r="B523" t="n">
        <v>8</v>
      </c>
      <c r="C523" t="inlineStr">
        <is>
          <t>Rodinal</t>
        </is>
      </c>
      <c r="D523" t="inlineStr">
        <is>
          <t>1+200</t>
        </is>
      </c>
      <c r="F523" t="n">
        <v>16</v>
      </c>
      <c r="I523" t="n">
        <v>21</v>
      </c>
      <c r="J523" t="n">
        <v>27.5</v>
      </c>
      <c r="K523" t="n">
        <v>36</v>
      </c>
      <c r="L523" t="inlineStr">
        <is>
          <t>Calculado 1+50×2.0 · stand=120min (comunidad)</t>
        </is>
      </c>
    </row>
    <row r="524">
      <c r="A524" t="inlineStr">
        <is>
          <t>JCH Streetpan 400</t>
        </is>
      </c>
      <c r="B524" t="n">
        <v>400</v>
      </c>
      <c r="C524" t="inlineStr">
        <is>
          <t>Rodinal</t>
        </is>
      </c>
      <c r="D524" t="inlineStr">
        <is>
          <t>1+100</t>
        </is>
      </c>
      <c r="F524" t="n">
        <v>33</v>
      </c>
      <c r="I524" t="n">
        <v>43</v>
      </c>
      <c r="J524" t="n">
        <v>56</v>
      </c>
      <c r="K524" t="n">
        <v>73</v>
      </c>
      <c r="L524" t="inlineStr">
        <is>
          <t>Calculado 1+50×1.5 · stand=60min (Agfa/Adox)</t>
        </is>
      </c>
    </row>
    <row r="525">
      <c r="A525" t="inlineStr">
        <is>
          <t>JCH Streetpan 400</t>
        </is>
      </c>
      <c r="B525" t="n">
        <v>400</v>
      </c>
      <c r="C525" t="inlineStr">
        <is>
          <t>Rodinal</t>
        </is>
      </c>
      <c r="D525" t="inlineStr">
        <is>
          <t>1+200</t>
        </is>
      </c>
      <c r="F525" t="n">
        <v>44</v>
      </c>
      <c r="I525" t="n">
        <v>57</v>
      </c>
      <c r="J525" t="n">
        <v>74</v>
      </c>
      <c r="K525" t="n">
        <v>96</v>
      </c>
      <c r="L525" t="inlineStr">
        <is>
          <t>Calculado 1+50×2.0 · stand=120min (comunidad)</t>
        </is>
      </c>
    </row>
    <row r="526">
      <c r="A526" t="inlineStr">
        <is>
          <t>Kosmo Foto Mono 100</t>
        </is>
      </c>
      <c r="B526" t="n">
        <v>100</v>
      </c>
      <c r="C526" t="inlineStr">
        <is>
          <t>Rodinal</t>
        </is>
      </c>
      <c r="D526" t="inlineStr">
        <is>
          <t>1+100</t>
        </is>
      </c>
      <c r="F526" t="n">
        <v>11</v>
      </c>
      <c r="I526" t="n">
        <v>14.5</v>
      </c>
      <c r="J526" t="n">
        <v>19</v>
      </c>
      <c r="K526" t="n">
        <v>24.5</v>
      </c>
      <c r="L526" t="inlineStr">
        <is>
          <t>Calculado 1+50×1.5 · stand=60min (Agfa/Adox)</t>
        </is>
      </c>
    </row>
    <row r="527">
      <c r="A527" t="inlineStr">
        <is>
          <t>Kosmo Foto Mono 100</t>
        </is>
      </c>
      <c r="B527" t="n">
        <v>100</v>
      </c>
      <c r="C527" t="inlineStr">
        <is>
          <t>Rodinal</t>
        </is>
      </c>
      <c r="D527" t="inlineStr">
        <is>
          <t>1+200</t>
        </is>
      </c>
      <c r="F527" t="n">
        <v>15</v>
      </c>
      <c r="I527" t="n">
        <v>19.5</v>
      </c>
      <c r="J527" t="n">
        <v>25.5</v>
      </c>
      <c r="K527" t="n">
        <v>33</v>
      </c>
      <c r="L527" t="inlineStr">
        <is>
          <t>Calculado 1+50×2.0 · stand=120min (comunidad)</t>
        </is>
      </c>
    </row>
    <row r="528">
      <c r="A528" t="inlineStr">
        <is>
          <t>Kodak Double-X 5222</t>
        </is>
      </c>
      <c r="B528" t="n">
        <v>250</v>
      </c>
      <c r="C528" t="inlineStr">
        <is>
          <t>Rodinal</t>
        </is>
      </c>
      <c r="D528" t="inlineStr">
        <is>
          <t>1+100</t>
        </is>
      </c>
      <c r="F528" t="n">
        <v>13.5</v>
      </c>
      <c r="I528" t="n">
        <v>17.5</v>
      </c>
      <c r="J528" t="n">
        <v>23</v>
      </c>
      <c r="K528" t="n">
        <v>30</v>
      </c>
      <c r="L528" t="inlineStr">
        <is>
          <t>Calculado 1+50×1.5 · stand=60min (Agfa/Adox)</t>
        </is>
      </c>
    </row>
    <row r="529">
      <c r="A529" t="inlineStr">
        <is>
          <t>Kodak Double-X 5222</t>
        </is>
      </c>
      <c r="B529" t="n">
        <v>250</v>
      </c>
      <c r="C529" t="inlineStr">
        <is>
          <t>Rodinal</t>
        </is>
      </c>
      <c r="D529" t="inlineStr">
        <is>
          <t>1+200</t>
        </is>
      </c>
      <c r="F529" t="n">
        <v>18</v>
      </c>
      <c r="I529" t="n">
        <v>23.5</v>
      </c>
      <c r="J529" t="n">
        <v>30.5</v>
      </c>
      <c r="K529" t="n">
        <v>39.5</v>
      </c>
      <c r="L529" t="inlineStr">
        <is>
          <t>Calculado 1+50×2.0 · stand=120min (comunidad)</t>
        </is>
      </c>
    </row>
    <row r="530">
      <c r="A530" t="inlineStr">
        <is>
          <t>Kodak Tri-X 400</t>
        </is>
      </c>
      <c r="B530" t="n">
        <v>400</v>
      </c>
      <c r="C530" t="inlineStr">
        <is>
          <t>Rodinal</t>
        </is>
      </c>
      <c r="D530" t="inlineStr">
        <is>
          <t>1+100</t>
        </is>
      </c>
      <c r="F530" t="n">
        <v>19.5</v>
      </c>
      <c r="I530" t="n">
        <v>25.5</v>
      </c>
      <c r="J530" t="n">
        <v>33</v>
      </c>
      <c r="K530" t="n">
        <v>43</v>
      </c>
      <c r="L530" t="inlineStr">
        <is>
          <t>Calculado 1+50×1.5 · stand=60min (Agfa/Adox)</t>
        </is>
      </c>
    </row>
    <row r="531">
      <c r="A531" t="inlineStr">
        <is>
          <t>Kodak Tri-X 400</t>
        </is>
      </c>
      <c r="B531" t="n">
        <v>400</v>
      </c>
      <c r="C531" t="inlineStr">
        <is>
          <t>Rodinal</t>
        </is>
      </c>
      <c r="D531" t="inlineStr">
        <is>
          <t>1+200</t>
        </is>
      </c>
      <c r="F531" t="n">
        <v>26</v>
      </c>
      <c r="I531" t="n">
        <v>34</v>
      </c>
      <c r="J531" t="n">
        <v>44</v>
      </c>
      <c r="K531" t="n">
        <v>57</v>
      </c>
      <c r="L531" t="inlineStr">
        <is>
          <t>Calculado 1+50×2.0 · stand=120min (comunidad)</t>
        </is>
      </c>
    </row>
    <row r="532">
      <c r="A532" t="inlineStr">
        <is>
          <t>Kodak T-MAX 100</t>
        </is>
      </c>
      <c r="B532" t="n">
        <v>100</v>
      </c>
      <c r="C532" t="inlineStr">
        <is>
          <t>Rodinal</t>
        </is>
      </c>
      <c r="D532" t="inlineStr">
        <is>
          <t>1+100</t>
        </is>
      </c>
      <c r="F532" t="n">
        <v>23</v>
      </c>
      <c r="I532" t="n">
        <v>29</v>
      </c>
      <c r="J532" t="n">
        <v>36</v>
      </c>
      <c r="K532" t="n">
        <v>45</v>
      </c>
      <c r="L532" t="inlineStr">
        <is>
          <t>Calculado 1+50×1.5 · stand=60min (Agfa/Adox)</t>
        </is>
      </c>
    </row>
    <row r="533">
      <c r="A533" t="inlineStr">
        <is>
          <t>Kodak T-MAX 100</t>
        </is>
      </c>
      <c r="B533" t="n">
        <v>100</v>
      </c>
      <c r="C533" t="inlineStr">
        <is>
          <t>Rodinal</t>
        </is>
      </c>
      <c r="D533" t="inlineStr">
        <is>
          <t>1+200</t>
        </is>
      </c>
      <c r="F533" t="n">
        <v>31</v>
      </c>
      <c r="I533" t="n">
        <v>39</v>
      </c>
      <c r="J533" t="n">
        <v>49</v>
      </c>
      <c r="K533" t="n">
        <v>61</v>
      </c>
      <c r="L533" t="inlineStr">
        <is>
          <t>Calculado 1+50×2.0 · stand=120min (comunidad)</t>
        </is>
      </c>
    </row>
    <row r="534">
      <c r="A534" t="inlineStr">
        <is>
          <t>Kodak T-MAX 400</t>
        </is>
      </c>
      <c r="B534" t="n">
        <v>400</v>
      </c>
      <c r="C534" t="inlineStr">
        <is>
          <t>Rodinal</t>
        </is>
      </c>
      <c r="D534" t="inlineStr">
        <is>
          <t>1+100</t>
        </is>
      </c>
      <c r="F534" t="n">
        <v>17</v>
      </c>
      <c r="I534" t="n">
        <v>21</v>
      </c>
      <c r="J534" t="n">
        <v>26</v>
      </c>
      <c r="K534" t="n">
        <v>32.5</v>
      </c>
      <c r="L534" t="inlineStr">
        <is>
          <t>Calculado 1+50×1.5 · stand=60min (Agfa/Adox)</t>
        </is>
      </c>
    </row>
    <row r="535">
      <c r="A535" t="inlineStr">
        <is>
          <t>Kodak T-MAX 400</t>
        </is>
      </c>
      <c r="B535" t="n">
        <v>400</v>
      </c>
      <c r="C535" t="inlineStr">
        <is>
          <t>Rodinal</t>
        </is>
      </c>
      <c r="D535" t="inlineStr">
        <is>
          <t>1+200</t>
        </is>
      </c>
      <c r="F535" t="n">
        <v>23</v>
      </c>
      <c r="I535" t="n">
        <v>29</v>
      </c>
      <c r="J535" t="n">
        <v>36</v>
      </c>
      <c r="K535" t="n">
        <v>45</v>
      </c>
      <c r="L535" t="inlineStr">
        <is>
          <t>Calculado 1+50×2.0 · stand=120min (comunidad)</t>
        </is>
      </c>
    </row>
    <row r="536">
      <c r="A536" t="inlineStr">
        <is>
          <t>Adox CHS 100 II</t>
        </is>
      </c>
      <c r="B536" t="n">
        <v>100</v>
      </c>
      <c r="C536" t="inlineStr">
        <is>
          <t>Adox Adonal</t>
        </is>
      </c>
      <c r="D536" t="inlineStr">
        <is>
          <t>1+100</t>
        </is>
      </c>
      <c r="F536" t="n">
        <v>19.5</v>
      </c>
      <c r="I536" t="n">
        <v>25.5</v>
      </c>
      <c r="J536" t="n">
        <v>33</v>
      </c>
      <c r="K536" t="n">
        <v>43</v>
      </c>
      <c r="L536" t="inlineStr">
        <is>
          <t>Equivalente Rodinal · stand=60min</t>
        </is>
      </c>
    </row>
    <row r="537">
      <c r="A537" t="inlineStr">
        <is>
          <t>Adox CHS 100 II</t>
        </is>
      </c>
      <c r="B537" t="n">
        <v>100</v>
      </c>
      <c r="C537" t="inlineStr">
        <is>
          <t>Adox Adonal</t>
        </is>
      </c>
      <c r="D537" t="inlineStr">
        <is>
          <t>1+200</t>
        </is>
      </c>
      <c r="F537" t="n">
        <v>26</v>
      </c>
      <c r="I537" t="n">
        <v>34</v>
      </c>
      <c r="J537" t="n">
        <v>44</v>
      </c>
      <c r="K537" t="n">
        <v>57</v>
      </c>
      <c r="L537" t="inlineStr">
        <is>
          <t>Equivalente Rodinal · stand=120min</t>
        </is>
      </c>
    </row>
    <row r="538">
      <c r="A538" t="inlineStr">
        <is>
          <t>Ilford HP5 Plus</t>
        </is>
      </c>
      <c r="B538" t="n">
        <v>400</v>
      </c>
      <c r="C538" t="inlineStr">
        <is>
          <t>Romek R09</t>
        </is>
      </c>
      <c r="D538" t="inlineStr">
        <is>
          <t>1+100</t>
        </is>
      </c>
      <c r="F538" t="n">
        <v>22.5</v>
      </c>
      <c r="I538" t="n">
        <v>29</v>
      </c>
      <c r="J538" t="n">
        <v>37.5</v>
      </c>
      <c r="K538" t="n">
        <v>49</v>
      </c>
      <c r="L538" t="inlineStr">
        <is>
          <t>Equivalente Rodinal · stand=60min</t>
        </is>
      </c>
    </row>
    <row r="539">
      <c r="A539" t="inlineStr">
        <is>
          <t>Ilford HP5 Plus</t>
        </is>
      </c>
      <c r="B539" t="n">
        <v>400</v>
      </c>
      <c r="C539" t="inlineStr">
        <is>
          <t>Romek R09</t>
        </is>
      </c>
      <c r="D539" t="inlineStr">
        <is>
          <t>1+200</t>
        </is>
      </c>
      <c r="F539" t="n">
        <v>30</v>
      </c>
      <c r="I539" t="n">
        <v>39</v>
      </c>
      <c r="J539" t="n">
        <v>50.5</v>
      </c>
      <c r="K539" t="n">
        <v>65.5</v>
      </c>
      <c r="L539" t="inlineStr">
        <is>
          <t>Equivalente Rodinal · stand=120min</t>
        </is>
      </c>
    </row>
    <row r="540">
      <c r="A540" t="inlineStr">
        <is>
          <t>Ilford FP4 Plus</t>
        </is>
      </c>
      <c r="B540" t="n">
        <v>125</v>
      </c>
      <c r="C540" t="inlineStr">
        <is>
          <t>Romek R09</t>
        </is>
      </c>
      <c r="D540" t="inlineStr">
        <is>
          <t>1+100</t>
        </is>
      </c>
      <c r="F540" t="n">
        <v>16.5</v>
      </c>
      <c r="I540" t="n">
        <v>21.5</v>
      </c>
      <c r="J540" t="n">
        <v>28</v>
      </c>
      <c r="K540" t="n">
        <v>36.5</v>
      </c>
      <c r="L540" t="inlineStr">
        <is>
          <t>Equivalente Rodinal · stand=60min</t>
        </is>
      </c>
    </row>
    <row r="541">
      <c r="A541" t="inlineStr">
        <is>
          <t>Ilford FP4 Plus</t>
        </is>
      </c>
      <c r="B541" t="n">
        <v>125</v>
      </c>
      <c r="C541" t="inlineStr">
        <is>
          <t>Romek R09</t>
        </is>
      </c>
      <c r="D541" t="inlineStr">
        <is>
          <t>1+200</t>
        </is>
      </c>
      <c r="F541" t="n">
        <v>22</v>
      </c>
      <c r="I541" t="n">
        <v>28.5</v>
      </c>
      <c r="J541" t="n">
        <v>37</v>
      </c>
      <c r="K541" t="n">
        <v>48</v>
      </c>
      <c r="L541" t="inlineStr">
        <is>
          <t>Equivalente Rodinal · stand=120min</t>
        </is>
      </c>
    </row>
    <row r="542">
      <c r="A542" t="inlineStr">
        <is>
          <t>Ilford Delta 100</t>
        </is>
      </c>
      <c r="B542" t="n">
        <v>100</v>
      </c>
      <c r="C542" t="inlineStr">
        <is>
          <t>Romek R09</t>
        </is>
      </c>
      <c r="D542" t="inlineStr">
        <is>
          <t>1+100</t>
        </is>
      </c>
      <c r="F542" t="n">
        <v>15</v>
      </c>
      <c r="I542" t="n">
        <v>19</v>
      </c>
      <c r="J542" t="n">
        <v>24</v>
      </c>
      <c r="K542" t="n">
        <v>30</v>
      </c>
      <c r="L542" t="inlineStr">
        <is>
          <t>Equivalente Rodinal · stand=60min</t>
        </is>
      </c>
    </row>
    <row r="543">
      <c r="A543" t="inlineStr">
        <is>
          <t>Ilford Delta 100</t>
        </is>
      </c>
      <c r="B543" t="n">
        <v>100</v>
      </c>
      <c r="C543" t="inlineStr">
        <is>
          <t>Romek R09</t>
        </is>
      </c>
      <c r="D543" t="inlineStr">
        <is>
          <t>1+200</t>
        </is>
      </c>
      <c r="F543" t="n">
        <v>20</v>
      </c>
      <c r="I543" t="n">
        <v>25</v>
      </c>
      <c r="J543" t="n">
        <v>31</v>
      </c>
      <c r="K543" t="n">
        <v>39</v>
      </c>
      <c r="L543" t="inlineStr">
        <is>
          <t>Equivalente Rodinal · stand=120min</t>
        </is>
      </c>
    </row>
    <row r="544">
      <c r="A544" t="inlineStr">
        <is>
          <t>Ilford Pan F Plus</t>
        </is>
      </c>
      <c r="B544" t="n">
        <v>50</v>
      </c>
      <c r="C544" t="inlineStr">
        <is>
          <t>Romek R09</t>
        </is>
      </c>
      <c r="D544" t="inlineStr">
        <is>
          <t>1+100</t>
        </is>
      </c>
      <c r="F544" t="n">
        <v>9</v>
      </c>
      <c r="I544" t="n">
        <v>11.5</v>
      </c>
      <c r="J544" t="n">
        <v>15</v>
      </c>
      <c r="K544" t="n">
        <v>19.5</v>
      </c>
      <c r="L544" t="inlineStr">
        <is>
          <t>Equivalente Rodinal · stand=60min</t>
        </is>
      </c>
    </row>
    <row r="545">
      <c r="A545" t="inlineStr">
        <is>
          <t>Ilford Pan F Plus</t>
        </is>
      </c>
      <c r="B545" t="n">
        <v>50</v>
      </c>
      <c r="C545" t="inlineStr">
        <is>
          <t>Romek R09</t>
        </is>
      </c>
      <c r="D545" t="inlineStr">
        <is>
          <t>1+200</t>
        </is>
      </c>
      <c r="F545" t="n">
        <v>12</v>
      </c>
      <c r="I545" t="n">
        <v>15.5</v>
      </c>
      <c r="J545" t="n">
        <v>20</v>
      </c>
      <c r="K545" t="n">
        <v>26</v>
      </c>
      <c r="L545" t="inlineStr">
        <is>
          <t>Equivalente Rodinal · stand=120min</t>
        </is>
      </c>
    </row>
    <row r="546">
      <c r="A546" t="inlineStr">
        <is>
          <t>Fomapan 100</t>
        </is>
      </c>
      <c r="B546" t="n">
        <v>100</v>
      </c>
      <c r="C546" t="inlineStr">
        <is>
          <t>Romek R09</t>
        </is>
      </c>
      <c r="D546" t="inlineStr">
        <is>
          <t>1+200</t>
        </is>
      </c>
      <c r="F546" t="n">
        <v>20</v>
      </c>
      <c r="I546" t="n">
        <v>26</v>
      </c>
      <c r="J546" t="n">
        <v>34</v>
      </c>
      <c r="K546" t="n">
        <v>44</v>
      </c>
      <c r="L546" t="inlineStr">
        <is>
          <t>Equivalente Rodinal · stand=120min</t>
        </is>
      </c>
    </row>
    <row r="547">
      <c r="A547" t="inlineStr">
        <is>
          <t>Fomapan 200</t>
        </is>
      </c>
      <c r="B547" t="n">
        <v>200</v>
      </c>
      <c r="C547" t="inlineStr">
        <is>
          <t>Romek R09</t>
        </is>
      </c>
      <c r="D547" t="inlineStr">
        <is>
          <t>1+100</t>
        </is>
      </c>
      <c r="F547" t="n">
        <v>18</v>
      </c>
      <c r="I547" t="n">
        <v>23.5</v>
      </c>
      <c r="J547" t="n">
        <v>30.5</v>
      </c>
      <c r="K547" t="n">
        <v>39.5</v>
      </c>
      <c r="L547" t="inlineStr">
        <is>
          <t>Equivalente Rodinal · stand=60min</t>
        </is>
      </c>
    </row>
    <row r="548">
      <c r="A548" t="inlineStr">
        <is>
          <t>Fomapan 200</t>
        </is>
      </c>
      <c r="B548" t="n">
        <v>200</v>
      </c>
      <c r="C548" t="inlineStr">
        <is>
          <t>Romek R09</t>
        </is>
      </c>
      <c r="D548" t="inlineStr">
        <is>
          <t>1+200</t>
        </is>
      </c>
      <c r="F548" t="n">
        <v>24</v>
      </c>
      <c r="I548" t="n">
        <v>31</v>
      </c>
      <c r="J548" t="n">
        <v>40.5</v>
      </c>
      <c r="K548" t="n">
        <v>52.5</v>
      </c>
      <c r="L548" t="inlineStr">
        <is>
          <t>Equivalente Rodinal · stand=120min</t>
        </is>
      </c>
    </row>
    <row r="549">
      <c r="A549" t="inlineStr">
        <is>
          <t>Fomapan 400</t>
        </is>
      </c>
      <c r="B549" t="n">
        <v>400</v>
      </c>
      <c r="C549" t="inlineStr">
        <is>
          <t>Romek R09</t>
        </is>
      </c>
      <c r="D549" t="inlineStr">
        <is>
          <t>1+100</t>
        </is>
      </c>
      <c r="F549" t="n">
        <v>19.5</v>
      </c>
      <c r="I549" t="n">
        <v>25.5</v>
      </c>
      <c r="J549" t="n">
        <v>33</v>
      </c>
      <c r="K549" t="n">
        <v>43</v>
      </c>
      <c r="L549" t="inlineStr">
        <is>
          <t>Equivalente Rodinal · stand=60min</t>
        </is>
      </c>
    </row>
    <row r="550">
      <c r="A550" t="inlineStr">
        <is>
          <t>Fomapan 400</t>
        </is>
      </c>
      <c r="B550" t="n">
        <v>400</v>
      </c>
      <c r="C550" t="inlineStr">
        <is>
          <t>Romek R09</t>
        </is>
      </c>
      <c r="D550" t="inlineStr">
        <is>
          <t>1+200</t>
        </is>
      </c>
      <c r="F550" t="n">
        <v>26</v>
      </c>
      <c r="I550" t="n">
        <v>34</v>
      </c>
      <c r="J550" t="n">
        <v>44</v>
      </c>
      <c r="K550" t="n">
        <v>57</v>
      </c>
      <c r="L550" t="inlineStr">
        <is>
          <t>Equivalente Rodinal · stand=120min</t>
        </is>
      </c>
    </row>
    <row r="551">
      <c r="A551" t="inlineStr">
        <is>
          <t>Foma Retropan 320</t>
        </is>
      </c>
      <c r="B551" t="n">
        <v>320</v>
      </c>
      <c r="C551" t="inlineStr">
        <is>
          <t>Romek R09</t>
        </is>
      </c>
      <c r="D551" t="inlineStr">
        <is>
          <t>1+100</t>
        </is>
      </c>
      <c r="F551" t="n">
        <v>21</v>
      </c>
      <c r="I551" t="n">
        <v>27.5</v>
      </c>
      <c r="J551" t="n">
        <v>36</v>
      </c>
      <c r="K551" t="n">
        <v>47</v>
      </c>
      <c r="L551" t="inlineStr">
        <is>
          <t>Equivalente Rodinal · stand=60min</t>
        </is>
      </c>
    </row>
    <row r="552">
      <c r="A552" t="inlineStr">
        <is>
          <t>Foma Retropan 320</t>
        </is>
      </c>
      <c r="B552" t="n">
        <v>320</v>
      </c>
      <c r="C552" t="inlineStr">
        <is>
          <t>Romek R09</t>
        </is>
      </c>
      <c r="D552" t="inlineStr">
        <is>
          <t>1+200</t>
        </is>
      </c>
      <c r="F552" t="n">
        <v>28</v>
      </c>
      <c r="I552" t="n">
        <v>36.5</v>
      </c>
      <c r="J552" t="n">
        <v>47.5</v>
      </c>
      <c r="K552" t="n">
        <v>62</v>
      </c>
      <c r="L552" t="inlineStr">
        <is>
          <t>Equivalente Rodinal · stand=120min</t>
        </is>
      </c>
    </row>
    <row r="553">
      <c r="A553" t="inlineStr">
        <is>
          <t>Fuji Neopan Acros 100 II</t>
        </is>
      </c>
      <c r="B553" t="n">
        <v>100</v>
      </c>
      <c r="C553" t="inlineStr">
        <is>
          <t>Romek R09</t>
        </is>
      </c>
      <c r="D553" t="inlineStr">
        <is>
          <t>1+100</t>
        </is>
      </c>
      <c r="F553" t="n">
        <v>18</v>
      </c>
      <c r="I553" t="n">
        <v>23.5</v>
      </c>
      <c r="J553" t="n">
        <v>30.5</v>
      </c>
      <c r="K553" t="n">
        <v>39.5</v>
      </c>
      <c r="L553" t="inlineStr">
        <is>
          <t>Equivalente Rodinal · stand=60min</t>
        </is>
      </c>
    </row>
    <row r="554">
      <c r="A554" t="inlineStr">
        <is>
          <t>Fuji Neopan Acros 100 II</t>
        </is>
      </c>
      <c r="B554" t="n">
        <v>100</v>
      </c>
      <c r="C554" t="inlineStr">
        <is>
          <t>Romek R09</t>
        </is>
      </c>
      <c r="D554" t="inlineStr">
        <is>
          <t>1+200</t>
        </is>
      </c>
      <c r="F554" t="n">
        <v>24</v>
      </c>
      <c r="I554" t="n">
        <v>31</v>
      </c>
      <c r="J554" t="n">
        <v>40.5</v>
      </c>
      <c r="K554" t="n">
        <v>52.5</v>
      </c>
      <c r="L554" t="inlineStr">
        <is>
          <t>Equivalente Rodinal · stand=120min</t>
        </is>
      </c>
    </row>
    <row r="555">
      <c r="A555" t="inlineStr">
        <is>
          <t>Adox CHS 100 II</t>
        </is>
      </c>
      <c r="B555" t="n">
        <v>100</v>
      </c>
      <c r="C555" t="inlineStr">
        <is>
          <t>Romek R09</t>
        </is>
      </c>
      <c r="D555" t="inlineStr">
        <is>
          <t>1+100</t>
        </is>
      </c>
      <c r="F555" t="n">
        <v>19.5</v>
      </c>
      <c r="I555" t="n">
        <v>25.5</v>
      </c>
      <c r="J555" t="n">
        <v>33</v>
      </c>
      <c r="K555" t="n">
        <v>43</v>
      </c>
      <c r="L555" t="inlineStr">
        <is>
          <t>Equivalente Rodinal · stand=60min</t>
        </is>
      </c>
    </row>
    <row r="556">
      <c r="A556" t="inlineStr">
        <is>
          <t>Adox CHS 100 II</t>
        </is>
      </c>
      <c r="B556" t="n">
        <v>100</v>
      </c>
      <c r="C556" t="inlineStr">
        <is>
          <t>Romek R09</t>
        </is>
      </c>
      <c r="D556" t="inlineStr">
        <is>
          <t>1+200</t>
        </is>
      </c>
      <c r="F556" t="n">
        <v>26</v>
      </c>
      <c r="I556" t="n">
        <v>34</v>
      </c>
      <c r="J556" t="n">
        <v>44</v>
      </c>
      <c r="K556" t="n">
        <v>57</v>
      </c>
      <c r="L556" t="inlineStr">
        <is>
          <t>Equivalente Rodinal · stand=120min</t>
        </is>
      </c>
    </row>
    <row r="557">
      <c r="A557" t="inlineStr">
        <is>
          <t>Adox Silvermax 100</t>
        </is>
      </c>
      <c r="B557" t="n">
        <v>100</v>
      </c>
      <c r="C557" t="inlineStr">
        <is>
          <t>Romek R09</t>
        </is>
      </c>
      <c r="D557" t="inlineStr">
        <is>
          <t>1+100</t>
        </is>
      </c>
      <c r="F557" t="n">
        <v>18</v>
      </c>
      <c r="I557" t="n">
        <v>23.5</v>
      </c>
      <c r="J557" t="n">
        <v>30.5</v>
      </c>
      <c r="K557" t="n">
        <v>39.5</v>
      </c>
      <c r="L557" t="inlineStr">
        <is>
          <t>Equivalente Rodinal · stand=60min</t>
        </is>
      </c>
    </row>
    <row r="558">
      <c r="A558" t="inlineStr">
        <is>
          <t>Adox Silvermax 100</t>
        </is>
      </c>
      <c r="B558" t="n">
        <v>100</v>
      </c>
      <c r="C558" t="inlineStr">
        <is>
          <t>Romek R09</t>
        </is>
      </c>
      <c r="D558" t="inlineStr">
        <is>
          <t>1+200</t>
        </is>
      </c>
      <c r="F558" t="n">
        <v>24</v>
      </c>
      <c r="I558" t="n">
        <v>31</v>
      </c>
      <c r="J558" t="n">
        <v>40.5</v>
      </c>
      <c r="K558" t="n">
        <v>52.5</v>
      </c>
      <c r="L558" t="inlineStr">
        <is>
          <t>Equivalente Rodinal · stand=120min</t>
        </is>
      </c>
    </row>
    <row r="559">
      <c r="A559" t="inlineStr">
        <is>
          <t>Bergger Pancro 400</t>
        </is>
      </c>
      <c r="B559" t="n">
        <v>400</v>
      </c>
      <c r="C559" t="inlineStr">
        <is>
          <t>Romek R09</t>
        </is>
      </c>
      <c r="D559" t="inlineStr">
        <is>
          <t>1+100</t>
        </is>
      </c>
      <c r="F559" t="n">
        <v>22.5</v>
      </c>
      <c r="I559" t="n">
        <v>29</v>
      </c>
      <c r="J559" t="n">
        <v>37.5</v>
      </c>
      <c r="K559" t="n">
        <v>49</v>
      </c>
      <c r="L559" t="inlineStr">
        <is>
          <t>Equivalente Rodinal · stand=60min</t>
        </is>
      </c>
    </row>
    <row r="560">
      <c r="A560" t="inlineStr">
        <is>
          <t>Bergger Pancro 400</t>
        </is>
      </c>
      <c r="B560" t="n">
        <v>400</v>
      </c>
      <c r="C560" t="inlineStr">
        <is>
          <t>Romek R09</t>
        </is>
      </c>
      <c r="D560" t="inlineStr">
        <is>
          <t>1+200</t>
        </is>
      </c>
      <c r="F560" t="n">
        <v>30</v>
      </c>
      <c r="I560" t="n">
        <v>39</v>
      </c>
      <c r="J560" t="n">
        <v>50.5</v>
      </c>
      <c r="K560" t="n">
        <v>65.5</v>
      </c>
      <c r="L560" t="inlineStr">
        <is>
          <t>Equivalente Rodinal · stand=120min</t>
        </is>
      </c>
    </row>
    <row r="561">
      <c r="A561" t="inlineStr">
        <is>
          <t>Rollei RPX 100</t>
        </is>
      </c>
      <c r="B561" t="n">
        <v>100</v>
      </c>
      <c r="C561" t="inlineStr">
        <is>
          <t>Romek R09</t>
        </is>
      </c>
      <c r="D561" t="inlineStr">
        <is>
          <t>1+100</t>
        </is>
      </c>
      <c r="F561" t="n">
        <v>16.5</v>
      </c>
      <c r="I561" t="n">
        <v>21.5</v>
      </c>
      <c r="J561" t="n">
        <v>28</v>
      </c>
      <c r="K561" t="n">
        <v>36.5</v>
      </c>
      <c r="L561" t="inlineStr">
        <is>
          <t>Equivalente Rodinal · stand=60min</t>
        </is>
      </c>
    </row>
    <row r="562">
      <c r="A562" t="inlineStr">
        <is>
          <t>Rollei RPX 100</t>
        </is>
      </c>
      <c r="B562" t="n">
        <v>100</v>
      </c>
      <c r="C562" t="inlineStr">
        <is>
          <t>Romek R09</t>
        </is>
      </c>
      <c r="D562" t="inlineStr">
        <is>
          <t>1+200</t>
        </is>
      </c>
      <c r="F562" t="n">
        <v>22</v>
      </c>
      <c r="I562" t="n">
        <v>28.5</v>
      </c>
      <c r="J562" t="n">
        <v>37</v>
      </c>
      <c r="K562" t="n">
        <v>48</v>
      </c>
      <c r="L562" t="inlineStr">
        <is>
          <t>Equivalente Rodinal · stand=120min</t>
        </is>
      </c>
    </row>
    <row r="563">
      <c r="A563" t="inlineStr">
        <is>
          <t>Rollei RPX 400</t>
        </is>
      </c>
      <c r="B563" t="n">
        <v>400</v>
      </c>
      <c r="C563" t="inlineStr">
        <is>
          <t>Romek R09</t>
        </is>
      </c>
      <c r="D563" t="inlineStr">
        <is>
          <t>1+100</t>
        </is>
      </c>
      <c r="F563" t="n">
        <v>21</v>
      </c>
      <c r="I563" t="n">
        <v>27.5</v>
      </c>
      <c r="J563" t="n">
        <v>36</v>
      </c>
      <c r="K563" t="n">
        <v>47</v>
      </c>
      <c r="L563" t="inlineStr">
        <is>
          <t>Equivalente Rodinal · stand=60min</t>
        </is>
      </c>
    </row>
    <row r="564">
      <c r="A564" t="inlineStr">
        <is>
          <t>Rollei RPX 400</t>
        </is>
      </c>
      <c r="B564" t="n">
        <v>400</v>
      </c>
      <c r="C564" t="inlineStr">
        <is>
          <t>Romek R09</t>
        </is>
      </c>
      <c r="D564" t="inlineStr">
        <is>
          <t>1+200</t>
        </is>
      </c>
      <c r="F564" t="n">
        <v>28</v>
      </c>
      <c r="I564" t="n">
        <v>36.5</v>
      </c>
      <c r="J564" t="n">
        <v>47.5</v>
      </c>
      <c r="K564" t="n">
        <v>62</v>
      </c>
      <c r="L564" t="inlineStr">
        <is>
          <t>Equivalente Rodinal · stand=120min</t>
        </is>
      </c>
    </row>
    <row r="565">
      <c r="A565" t="inlineStr">
        <is>
          <t>Ferrania P30</t>
        </is>
      </c>
      <c r="B565" t="n">
        <v>80</v>
      </c>
      <c r="C565" t="inlineStr">
        <is>
          <t>Romek R09</t>
        </is>
      </c>
      <c r="D565" t="inlineStr">
        <is>
          <t>1+100</t>
        </is>
      </c>
      <c r="F565" t="n">
        <v>16.5</v>
      </c>
      <c r="I565" t="n">
        <v>21.5</v>
      </c>
      <c r="J565" t="n">
        <v>28</v>
      </c>
      <c r="K565" t="n">
        <v>36.5</v>
      </c>
      <c r="L565" t="inlineStr">
        <is>
          <t>Equivalente Rodinal · stand=60min</t>
        </is>
      </c>
    </row>
    <row r="566">
      <c r="A566" t="inlineStr">
        <is>
          <t>Ferrania P30</t>
        </is>
      </c>
      <c r="B566" t="n">
        <v>80</v>
      </c>
      <c r="C566" t="inlineStr">
        <is>
          <t>Romek R09</t>
        </is>
      </c>
      <c r="D566" t="inlineStr">
        <is>
          <t>1+200</t>
        </is>
      </c>
      <c r="F566" t="n">
        <v>22</v>
      </c>
      <c r="I566" t="n">
        <v>28.5</v>
      </c>
      <c r="J566" t="n">
        <v>37</v>
      </c>
      <c r="K566" t="n">
        <v>48</v>
      </c>
      <c r="L566" t="inlineStr">
        <is>
          <t>Equivalente Rodinal · stand=120min</t>
        </is>
      </c>
    </row>
    <row r="567">
      <c r="A567" t="inlineStr">
        <is>
          <t>Lomo Lady Grey 400</t>
        </is>
      </c>
      <c r="B567" t="n">
        <v>400</v>
      </c>
      <c r="C567" t="inlineStr">
        <is>
          <t>Romek R09</t>
        </is>
      </c>
      <c r="D567" t="inlineStr">
        <is>
          <t>1+100</t>
        </is>
      </c>
      <c r="F567" t="n">
        <v>15</v>
      </c>
      <c r="I567" t="n">
        <v>19.5</v>
      </c>
      <c r="J567" t="n">
        <v>25.5</v>
      </c>
      <c r="K567" t="n">
        <v>33</v>
      </c>
      <c r="L567" t="inlineStr">
        <is>
          <t>Equivalente Rodinal · stand=60min</t>
        </is>
      </c>
    </row>
    <row r="568">
      <c r="A568" t="inlineStr">
        <is>
          <t>Lomo Lady Grey 400</t>
        </is>
      </c>
      <c r="B568" t="n">
        <v>400</v>
      </c>
      <c r="C568" t="inlineStr">
        <is>
          <t>Romek R09</t>
        </is>
      </c>
      <c r="D568" t="inlineStr">
        <is>
          <t>1+200</t>
        </is>
      </c>
      <c r="F568" t="n">
        <v>20</v>
      </c>
      <c r="I568" t="n">
        <v>26</v>
      </c>
      <c r="J568" t="n">
        <v>34</v>
      </c>
      <c r="K568" t="n">
        <v>44</v>
      </c>
      <c r="L568" t="inlineStr">
        <is>
          <t>Equivalente Rodinal · stand=120min</t>
        </is>
      </c>
    </row>
    <row r="569">
      <c r="A569" t="inlineStr">
        <is>
          <t>Lomo Earl Grey 100</t>
        </is>
      </c>
      <c r="B569" t="n">
        <v>100</v>
      </c>
      <c r="C569" t="inlineStr">
        <is>
          <t>Romek R09</t>
        </is>
      </c>
      <c r="D569" t="inlineStr">
        <is>
          <t>1+100</t>
        </is>
      </c>
      <c r="F569" t="n">
        <v>12</v>
      </c>
      <c r="I569" t="n">
        <v>15.5</v>
      </c>
      <c r="J569" t="n">
        <v>20</v>
      </c>
      <c r="K569" t="n">
        <v>26</v>
      </c>
      <c r="L569" t="inlineStr">
        <is>
          <t>Equivalente Rodinal · stand=60min</t>
        </is>
      </c>
    </row>
    <row r="570">
      <c r="A570" t="inlineStr">
        <is>
          <t>Lomo Earl Grey 100</t>
        </is>
      </c>
      <c r="B570" t="n">
        <v>100</v>
      </c>
      <c r="C570" t="inlineStr">
        <is>
          <t>Romek R09</t>
        </is>
      </c>
      <c r="D570" t="inlineStr">
        <is>
          <t>1+200</t>
        </is>
      </c>
      <c r="F570" t="n">
        <v>16</v>
      </c>
      <c r="I570" t="n">
        <v>21</v>
      </c>
      <c r="J570" t="n">
        <v>27.5</v>
      </c>
      <c r="K570" t="n">
        <v>36</v>
      </c>
      <c r="L570" t="inlineStr">
        <is>
          <t>Equivalente Rodinal · stand=120min</t>
        </is>
      </c>
    </row>
    <row r="571">
      <c r="A571" t="inlineStr">
        <is>
          <t>Lomo Berlin Kino 400</t>
        </is>
      </c>
      <c r="B571" t="n">
        <v>400</v>
      </c>
      <c r="C571" t="inlineStr">
        <is>
          <t>Romek R09</t>
        </is>
      </c>
      <c r="D571" t="inlineStr">
        <is>
          <t>1+100</t>
        </is>
      </c>
      <c r="F571" t="n">
        <v>19.5</v>
      </c>
      <c r="I571" t="n">
        <v>25.5</v>
      </c>
      <c r="J571" t="n">
        <v>33</v>
      </c>
      <c r="K571" t="n">
        <v>43</v>
      </c>
      <c r="L571" t="inlineStr">
        <is>
          <t>Equivalente Rodinal · stand=60min</t>
        </is>
      </c>
    </row>
    <row r="572">
      <c r="A572" t="inlineStr">
        <is>
          <t>Lomo Berlin Kino 400</t>
        </is>
      </c>
      <c r="B572" t="n">
        <v>400</v>
      </c>
      <c r="C572" t="inlineStr">
        <is>
          <t>Romek R09</t>
        </is>
      </c>
      <c r="D572" t="inlineStr">
        <is>
          <t>1+200</t>
        </is>
      </c>
      <c r="F572" t="n">
        <v>26</v>
      </c>
      <c r="I572" t="n">
        <v>34</v>
      </c>
      <c r="J572" t="n">
        <v>44</v>
      </c>
      <c r="K572" t="n">
        <v>57</v>
      </c>
      <c r="L572" t="inlineStr">
        <is>
          <t>Equivalente Rodinal · stand=120min</t>
        </is>
      </c>
    </row>
    <row r="573">
      <c r="A573" t="inlineStr">
        <is>
          <t>Lomo Potsdam Kino 100</t>
        </is>
      </c>
      <c r="B573" t="n">
        <v>100</v>
      </c>
      <c r="C573" t="inlineStr">
        <is>
          <t>Romek R09</t>
        </is>
      </c>
      <c r="D573" t="inlineStr">
        <is>
          <t>1+100</t>
        </is>
      </c>
      <c r="F573" t="n">
        <v>14</v>
      </c>
      <c r="I573" t="n">
        <v>18</v>
      </c>
      <c r="J573" t="n">
        <v>23.5</v>
      </c>
      <c r="K573" t="n">
        <v>30.5</v>
      </c>
      <c r="L573" t="inlineStr">
        <is>
          <t>Equivalente Rodinal · stand=60min</t>
        </is>
      </c>
    </row>
    <row r="574">
      <c r="A574" t="inlineStr">
        <is>
          <t>Lomo Potsdam Kino 100</t>
        </is>
      </c>
      <c r="B574" t="n">
        <v>100</v>
      </c>
      <c r="C574" t="inlineStr">
        <is>
          <t>Romek R09</t>
        </is>
      </c>
      <c r="D574" t="inlineStr">
        <is>
          <t>1+200</t>
        </is>
      </c>
      <c r="F574" t="n">
        <v>19</v>
      </c>
      <c r="I574" t="n">
        <v>24.5</v>
      </c>
      <c r="J574" t="n">
        <v>32</v>
      </c>
      <c r="K574" t="n">
        <v>41.5</v>
      </c>
      <c r="L574" t="inlineStr">
        <is>
          <t>Equivalente Rodinal · stand=120min</t>
        </is>
      </c>
    </row>
    <row r="575">
      <c r="A575" t="inlineStr">
        <is>
          <t>Lomo Fantome Kino 8</t>
        </is>
      </c>
      <c r="B575" t="n">
        <v>8</v>
      </c>
      <c r="C575" t="inlineStr">
        <is>
          <t>Romek R09</t>
        </is>
      </c>
      <c r="D575" t="inlineStr">
        <is>
          <t>1+100</t>
        </is>
      </c>
      <c r="F575" t="n">
        <v>12</v>
      </c>
      <c r="I575" t="n">
        <v>15.5</v>
      </c>
      <c r="J575" t="n">
        <v>20</v>
      </c>
      <c r="K575" t="n">
        <v>26</v>
      </c>
      <c r="L575" t="inlineStr">
        <is>
          <t>Equivalente Rodinal · stand=60min</t>
        </is>
      </c>
    </row>
    <row r="576">
      <c r="A576" t="inlineStr">
        <is>
          <t>Lomo Fantome Kino 8</t>
        </is>
      </c>
      <c r="B576" t="n">
        <v>8</v>
      </c>
      <c r="C576" t="inlineStr">
        <is>
          <t>Romek R09</t>
        </is>
      </c>
      <c r="D576" t="inlineStr">
        <is>
          <t>1+200</t>
        </is>
      </c>
      <c r="F576" t="n">
        <v>16</v>
      </c>
      <c r="I576" t="n">
        <v>21</v>
      </c>
      <c r="J576" t="n">
        <v>27.5</v>
      </c>
      <c r="K576" t="n">
        <v>36</v>
      </c>
      <c r="L576" t="inlineStr">
        <is>
          <t>Equivalente Rodinal · stand=120min</t>
        </is>
      </c>
    </row>
    <row r="577">
      <c r="A577" t="inlineStr">
        <is>
          <t>JCH Streetpan 400</t>
        </is>
      </c>
      <c r="B577" t="n">
        <v>400</v>
      </c>
      <c r="C577" t="inlineStr">
        <is>
          <t>Romek R09</t>
        </is>
      </c>
      <c r="D577" t="inlineStr">
        <is>
          <t>1+100</t>
        </is>
      </c>
      <c r="F577" t="n">
        <v>33</v>
      </c>
      <c r="I577" t="n">
        <v>43</v>
      </c>
      <c r="J577" t="n">
        <v>56</v>
      </c>
      <c r="K577" t="n">
        <v>73</v>
      </c>
      <c r="L577" t="inlineStr">
        <is>
          <t>Equivalente Rodinal · stand=60min</t>
        </is>
      </c>
    </row>
    <row r="578">
      <c r="A578" t="inlineStr">
        <is>
          <t>JCH Streetpan 400</t>
        </is>
      </c>
      <c r="B578" t="n">
        <v>400</v>
      </c>
      <c r="C578" t="inlineStr">
        <is>
          <t>Romek R09</t>
        </is>
      </c>
      <c r="D578" t="inlineStr">
        <is>
          <t>1+200</t>
        </is>
      </c>
      <c r="F578" t="n">
        <v>44</v>
      </c>
      <c r="I578" t="n">
        <v>57</v>
      </c>
      <c r="J578" t="n">
        <v>74</v>
      </c>
      <c r="K578" t="n">
        <v>96</v>
      </c>
      <c r="L578" t="inlineStr">
        <is>
          <t>Equivalente Rodinal · stand=120min</t>
        </is>
      </c>
    </row>
    <row r="579">
      <c r="A579" t="inlineStr">
        <is>
          <t>Kosmo Foto Mono 100</t>
        </is>
      </c>
      <c r="B579" t="n">
        <v>100</v>
      </c>
      <c r="C579" t="inlineStr">
        <is>
          <t>Romek R09</t>
        </is>
      </c>
      <c r="D579" t="inlineStr">
        <is>
          <t>1+100</t>
        </is>
      </c>
      <c r="F579" t="n">
        <v>11</v>
      </c>
      <c r="I579" t="n">
        <v>14.5</v>
      </c>
      <c r="J579" t="n">
        <v>19</v>
      </c>
      <c r="K579" t="n">
        <v>24.5</v>
      </c>
      <c r="L579" t="inlineStr">
        <is>
          <t>Equivalente Rodinal · stand=60min</t>
        </is>
      </c>
    </row>
    <row r="580">
      <c r="A580" t="inlineStr">
        <is>
          <t>Kosmo Foto Mono 100</t>
        </is>
      </c>
      <c r="B580" t="n">
        <v>100</v>
      </c>
      <c r="C580" t="inlineStr">
        <is>
          <t>Romek R09</t>
        </is>
      </c>
      <c r="D580" t="inlineStr">
        <is>
          <t>1+200</t>
        </is>
      </c>
      <c r="F580" t="n">
        <v>15</v>
      </c>
      <c r="I580" t="n">
        <v>19.5</v>
      </c>
      <c r="J580" t="n">
        <v>25.5</v>
      </c>
      <c r="K580" t="n">
        <v>33</v>
      </c>
      <c r="L580" t="inlineStr">
        <is>
          <t>Equivalente Rodinal · stand=120min</t>
        </is>
      </c>
    </row>
    <row r="581">
      <c r="A581" t="inlineStr">
        <is>
          <t>Kodak Double-X 5222</t>
        </is>
      </c>
      <c r="B581" t="n">
        <v>250</v>
      </c>
      <c r="C581" t="inlineStr">
        <is>
          <t>Romek R09</t>
        </is>
      </c>
      <c r="D581" t="inlineStr">
        <is>
          <t>1+100</t>
        </is>
      </c>
      <c r="F581" t="n">
        <v>13.5</v>
      </c>
      <c r="I581" t="n">
        <v>17.5</v>
      </c>
      <c r="J581" t="n">
        <v>23</v>
      </c>
      <c r="K581" t="n">
        <v>30</v>
      </c>
      <c r="L581" t="inlineStr">
        <is>
          <t>Equivalente Rodinal · stand=60min</t>
        </is>
      </c>
    </row>
    <row r="582">
      <c r="A582" t="inlineStr">
        <is>
          <t>Kodak Double-X 5222</t>
        </is>
      </c>
      <c r="B582" t="n">
        <v>250</v>
      </c>
      <c r="C582" t="inlineStr">
        <is>
          <t>Romek R09</t>
        </is>
      </c>
      <c r="D582" t="inlineStr">
        <is>
          <t>1+200</t>
        </is>
      </c>
      <c r="F582" t="n">
        <v>18</v>
      </c>
      <c r="I582" t="n">
        <v>23.5</v>
      </c>
      <c r="J582" t="n">
        <v>30.5</v>
      </c>
      <c r="K582" t="n">
        <v>39.5</v>
      </c>
      <c r="L582" t="inlineStr">
        <is>
          <t>Equivalente Rodinal · stand=120min</t>
        </is>
      </c>
    </row>
    <row r="583">
      <c r="A583" t="inlineStr">
        <is>
          <t>Kodak Tri-X 400</t>
        </is>
      </c>
      <c r="B583" t="n">
        <v>400</v>
      </c>
      <c r="C583" t="inlineStr">
        <is>
          <t>HC-110</t>
        </is>
      </c>
      <c r="D583" t="inlineStr">
        <is>
          <t>Dil. H (1+63)</t>
        </is>
      </c>
      <c r="F583" t="n">
        <v>9</v>
      </c>
      <c r="I583" t="n">
        <v>11.5</v>
      </c>
      <c r="J583" t="n">
        <v>15</v>
      </c>
      <c r="K583" t="n">
        <v>19.5</v>
      </c>
      <c r="L583" t="inlineStr">
        <is>
          <t>Kodak J-24 · stand=25min</t>
        </is>
      </c>
    </row>
    <row r="584">
      <c r="A584" t="inlineStr">
        <is>
          <t>Kodak Tri-X 400</t>
        </is>
      </c>
      <c r="B584" t="n">
        <v>400</v>
      </c>
      <c r="C584" t="inlineStr">
        <is>
          <t>HC-110</t>
        </is>
      </c>
      <c r="D584" t="inlineStr">
        <is>
          <t>Dil. E (1+47)</t>
        </is>
      </c>
      <c r="F584" t="n">
        <v>8</v>
      </c>
      <c r="I584" t="n">
        <v>10.5</v>
      </c>
      <c r="J584" t="n">
        <v>13.5</v>
      </c>
      <c r="K584" t="n">
        <v>17.5</v>
      </c>
      <c r="L584" t="inlineStr">
        <is>
          <t>Kodak J-24 · stand=25min</t>
        </is>
      </c>
    </row>
    <row r="585">
      <c r="A585" t="inlineStr">
        <is>
          <t>Kodak T-MAX 100</t>
        </is>
      </c>
      <c r="B585" t="n">
        <v>100</v>
      </c>
      <c r="C585" t="inlineStr">
        <is>
          <t>HC-110</t>
        </is>
      </c>
      <c r="D585" t="inlineStr">
        <is>
          <t>Dil. H (1+63)</t>
        </is>
      </c>
      <c r="F585" t="n">
        <v>10</v>
      </c>
      <c r="I585" t="n">
        <v>12.5</v>
      </c>
      <c r="J585" t="n">
        <v>15.5</v>
      </c>
      <c r="K585" t="n">
        <v>19.5</v>
      </c>
      <c r="L585" t="inlineStr">
        <is>
          <t>Kodak J-24 · stand=25min</t>
        </is>
      </c>
    </row>
    <row r="586">
      <c r="A586" t="inlineStr">
        <is>
          <t>Kodak T-MAX 100</t>
        </is>
      </c>
      <c r="B586" t="n">
        <v>100</v>
      </c>
      <c r="C586" t="inlineStr">
        <is>
          <t>HC-110</t>
        </is>
      </c>
      <c r="D586" t="inlineStr">
        <is>
          <t>Dil. E (1+47)</t>
        </is>
      </c>
      <c r="F586" t="n">
        <v>8.5</v>
      </c>
      <c r="I586" t="n">
        <v>10.5</v>
      </c>
      <c r="J586" t="n">
        <v>13</v>
      </c>
      <c r="K586" t="n">
        <v>16</v>
      </c>
      <c r="L586" t="inlineStr">
        <is>
          <t>Kodak J-24 · stand=25min</t>
        </is>
      </c>
    </row>
    <row r="587">
      <c r="A587" t="inlineStr">
        <is>
          <t>Kodak T-MAX 400</t>
        </is>
      </c>
      <c r="B587" t="n">
        <v>400</v>
      </c>
      <c r="C587" t="inlineStr">
        <is>
          <t>HC-110</t>
        </is>
      </c>
      <c r="D587" t="inlineStr">
        <is>
          <t>Dil. H (1+63)</t>
        </is>
      </c>
      <c r="F587" t="n">
        <v>9</v>
      </c>
      <c r="I587" t="n">
        <v>11</v>
      </c>
      <c r="J587" t="n">
        <v>14</v>
      </c>
      <c r="K587" t="n">
        <v>17.5</v>
      </c>
      <c r="L587" t="inlineStr">
        <is>
          <t>Kodak J-24 · stand=25min</t>
        </is>
      </c>
    </row>
    <row r="588">
      <c r="A588" t="inlineStr">
        <is>
          <t>Kodak T-MAX 400</t>
        </is>
      </c>
      <c r="B588" t="n">
        <v>400</v>
      </c>
      <c r="C588" t="inlineStr">
        <is>
          <t>HC-110</t>
        </is>
      </c>
      <c r="D588" t="inlineStr">
        <is>
          <t>Dil. E (1+47)</t>
        </is>
      </c>
      <c r="F588" t="n">
        <v>8</v>
      </c>
      <c r="I588" t="n">
        <v>10</v>
      </c>
      <c r="J588" t="n">
        <v>12.5</v>
      </c>
      <c r="K588" t="n">
        <v>15.5</v>
      </c>
      <c r="L588" t="inlineStr">
        <is>
          <t>Kodak J-24 · stand=25min</t>
        </is>
      </c>
    </row>
    <row r="589">
      <c r="A589" t="inlineStr">
        <is>
          <t>Kodak Plus-X 125</t>
        </is>
      </c>
      <c r="B589" t="n">
        <v>125</v>
      </c>
      <c r="C589" t="inlineStr">
        <is>
          <t>HC-110</t>
        </is>
      </c>
      <c r="D589" t="inlineStr">
        <is>
          <t>Dil. H (1+63)</t>
        </is>
      </c>
      <c r="F589" t="n">
        <v>10.5</v>
      </c>
      <c r="I589" t="n">
        <v>13.5</v>
      </c>
      <c r="J589" t="n">
        <v>17.5</v>
      </c>
      <c r="K589" t="n">
        <v>23</v>
      </c>
      <c r="L589" t="inlineStr">
        <is>
          <t>Kodak J-24 · stand=25min</t>
        </is>
      </c>
    </row>
    <row r="590">
      <c r="A590" t="inlineStr">
        <is>
          <t>Kodak Plus-X 125</t>
        </is>
      </c>
      <c r="B590" t="n">
        <v>125</v>
      </c>
      <c r="C590" t="inlineStr">
        <is>
          <t>HC-110</t>
        </is>
      </c>
      <c r="D590" t="inlineStr">
        <is>
          <t>Dil. E (1+47)</t>
        </is>
      </c>
      <c r="F590" t="n">
        <v>9</v>
      </c>
      <c r="I590" t="n">
        <v>11.5</v>
      </c>
      <c r="J590" t="n">
        <v>15</v>
      </c>
      <c r="K590" t="n">
        <v>19.5</v>
      </c>
      <c r="L590" t="inlineStr">
        <is>
          <t>Kodak J-24 · stand=25min</t>
        </is>
      </c>
    </row>
    <row r="591">
      <c r="A591" t="inlineStr">
        <is>
          <t>Fomapan 100</t>
        </is>
      </c>
      <c r="B591" t="n">
        <v>100</v>
      </c>
      <c r="C591" t="inlineStr">
        <is>
          <t>HC-110</t>
        </is>
      </c>
      <c r="D591" t="inlineStr">
        <is>
          <t>Dil. H (1+63)</t>
        </is>
      </c>
      <c r="F591" t="n">
        <v>7.5</v>
      </c>
      <c r="I591" t="n">
        <v>10</v>
      </c>
      <c r="J591" t="n">
        <v>13</v>
      </c>
      <c r="K591" t="n">
        <v>17</v>
      </c>
      <c r="L591" t="inlineStr">
        <is>
          <t>Kodak J-24 · stand=25min</t>
        </is>
      </c>
    </row>
    <row r="592">
      <c r="A592" t="inlineStr">
        <is>
          <t>Fomapan 100</t>
        </is>
      </c>
      <c r="B592" t="n">
        <v>100</v>
      </c>
      <c r="C592" t="inlineStr">
        <is>
          <t>HC-110</t>
        </is>
      </c>
      <c r="D592" t="inlineStr">
        <is>
          <t>Dil. E (1+47)</t>
        </is>
      </c>
      <c r="F592" t="n">
        <v>6.5</v>
      </c>
      <c r="I592" t="n">
        <v>8.5</v>
      </c>
      <c r="J592" t="n">
        <v>11</v>
      </c>
      <c r="K592" t="n">
        <v>14.5</v>
      </c>
      <c r="L592" t="inlineStr">
        <is>
          <t>Kodak J-24 · stand=25min</t>
        </is>
      </c>
    </row>
    <row r="593">
      <c r="A593" t="inlineStr">
        <is>
          <t>Fomapan 200</t>
        </is>
      </c>
      <c r="B593" t="n">
        <v>200</v>
      </c>
      <c r="C593" t="inlineStr">
        <is>
          <t>HC-110</t>
        </is>
      </c>
      <c r="D593" t="inlineStr">
        <is>
          <t>Dil. H (1+63)</t>
        </is>
      </c>
      <c r="F593" t="n">
        <v>9</v>
      </c>
      <c r="I593" t="n">
        <v>11.5</v>
      </c>
      <c r="J593" t="n">
        <v>15</v>
      </c>
      <c r="K593" t="n">
        <v>19.5</v>
      </c>
      <c r="L593" t="inlineStr">
        <is>
          <t>Kodak J-24 · stand=25min</t>
        </is>
      </c>
    </row>
    <row r="594">
      <c r="A594" t="inlineStr">
        <is>
          <t>Fomapan 200</t>
        </is>
      </c>
      <c r="B594" t="n">
        <v>200</v>
      </c>
      <c r="C594" t="inlineStr">
        <is>
          <t>HC-110</t>
        </is>
      </c>
      <c r="D594" t="inlineStr">
        <is>
          <t>Dil. E (1+47)</t>
        </is>
      </c>
      <c r="F594" t="n">
        <v>8</v>
      </c>
      <c r="I594" t="n">
        <v>10.5</v>
      </c>
      <c r="J594" t="n">
        <v>13.5</v>
      </c>
      <c r="K594" t="n">
        <v>17.5</v>
      </c>
      <c r="L594" t="inlineStr">
        <is>
          <t>Kodak J-24 · stand=25min</t>
        </is>
      </c>
    </row>
    <row r="595">
      <c r="A595" t="inlineStr">
        <is>
          <t>Fomapan 400</t>
        </is>
      </c>
      <c r="B595" t="n">
        <v>400</v>
      </c>
      <c r="C595" t="inlineStr">
        <is>
          <t>HC-110</t>
        </is>
      </c>
      <c r="D595" t="inlineStr">
        <is>
          <t>Dil. H (1+63)</t>
        </is>
      </c>
      <c r="F595" t="n">
        <v>9</v>
      </c>
      <c r="I595" t="n">
        <v>11.5</v>
      </c>
      <c r="J595" t="n">
        <v>15</v>
      </c>
      <c r="K595" t="n">
        <v>19.5</v>
      </c>
      <c r="L595" t="inlineStr">
        <is>
          <t>Kodak J-24 · stand=25min</t>
        </is>
      </c>
    </row>
    <row r="596">
      <c r="A596" t="inlineStr">
        <is>
          <t>Fomapan 400</t>
        </is>
      </c>
      <c r="B596" t="n">
        <v>400</v>
      </c>
      <c r="C596" t="inlineStr">
        <is>
          <t>HC-110</t>
        </is>
      </c>
      <c r="D596" t="inlineStr">
        <is>
          <t>Dil. E (1+47)</t>
        </is>
      </c>
      <c r="F596" t="n">
        <v>8</v>
      </c>
      <c r="I596" t="n">
        <v>10.5</v>
      </c>
      <c r="J596" t="n">
        <v>13.5</v>
      </c>
      <c r="K596" t="n">
        <v>17.5</v>
      </c>
      <c r="L596" t="inlineStr">
        <is>
          <t>Kodak J-24 · stand=25min</t>
        </is>
      </c>
    </row>
    <row r="597">
      <c r="A597" t="inlineStr">
        <is>
          <t>Fuji Neopan Acros 100 II</t>
        </is>
      </c>
      <c r="B597" t="n">
        <v>100</v>
      </c>
      <c r="C597" t="inlineStr">
        <is>
          <t>HC-110</t>
        </is>
      </c>
      <c r="D597" t="inlineStr">
        <is>
          <t>Dil. H (1+63)</t>
        </is>
      </c>
      <c r="F597" t="n">
        <v>9</v>
      </c>
      <c r="I597" t="n">
        <v>11.5</v>
      </c>
      <c r="J597" t="n">
        <v>15</v>
      </c>
      <c r="K597" t="n">
        <v>19.5</v>
      </c>
      <c r="L597" t="inlineStr">
        <is>
          <t>Kodak J-24 · stand=25min</t>
        </is>
      </c>
    </row>
    <row r="598">
      <c r="A598" t="inlineStr">
        <is>
          <t>Fuji Neopan Acros 100 II</t>
        </is>
      </c>
      <c r="B598" t="n">
        <v>100</v>
      </c>
      <c r="C598" t="inlineStr">
        <is>
          <t>HC-110</t>
        </is>
      </c>
      <c r="D598" t="inlineStr">
        <is>
          <t>Dil. E (1+47)</t>
        </is>
      </c>
      <c r="F598" t="n">
        <v>8</v>
      </c>
      <c r="I598" t="n">
        <v>10.5</v>
      </c>
      <c r="J598" t="n">
        <v>13.5</v>
      </c>
      <c r="K598" t="n">
        <v>17.5</v>
      </c>
      <c r="L598" t="inlineStr">
        <is>
          <t>Kodak J-24 · stand=25min</t>
        </is>
      </c>
    </row>
    <row r="599">
      <c r="A599" t="inlineStr">
        <is>
          <t>Bergger Pancro 400</t>
        </is>
      </c>
      <c r="B599" t="n">
        <v>400</v>
      </c>
      <c r="C599" t="inlineStr">
        <is>
          <t>HC-110</t>
        </is>
      </c>
      <c r="D599" t="inlineStr">
        <is>
          <t>Dil. H (1+63)</t>
        </is>
      </c>
      <c r="F599" t="n">
        <v>10.5</v>
      </c>
      <c r="I599" t="n">
        <v>13.5</v>
      </c>
      <c r="J599" t="n">
        <v>17.5</v>
      </c>
      <c r="K599" t="n">
        <v>23</v>
      </c>
      <c r="L599" t="inlineStr">
        <is>
          <t>Kodak J-24 · stand=25min</t>
        </is>
      </c>
    </row>
    <row r="600">
      <c r="A600" t="inlineStr">
        <is>
          <t>Bergger Pancro 400</t>
        </is>
      </c>
      <c r="B600" t="n">
        <v>400</v>
      </c>
      <c r="C600" t="inlineStr">
        <is>
          <t>HC-110</t>
        </is>
      </c>
      <c r="D600" t="inlineStr">
        <is>
          <t>Dil. E (1+47)</t>
        </is>
      </c>
      <c r="F600" t="n">
        <v>9</v>
      </c>
      <c r="I600" t="n">
        <v>11.5</v>
      </c>
      <c r="J600" t="n">
        <v>15</v>
      </c>
      <c r="K600" t="n">
        <v>19.5</v>
      </c>
      <c r="L600" t="inlineStr">
        <is>
          <t>Kodak J-24 · stand=25min</t>
        </is>
      </c>
    </row>
    <row r="601">
      <c r="A601" t="inlineStr">
        <is>
          <t>Rollei RPX 400</t>
        </is>
      </c>
      <c r="B601" t="n">
        <v>400</v>
      </c>
      <c r="C601" t="inlineStr">
        <is>
          <t>HC-110</t>
        </is>
      </c>
      <c r="D601" t="inlineStr">
        <is>
          <t>Dil. H (1+63)</t>
        </is>
      </c>
      <c r="F601" t="n">
        <v>9</v>
      </c>
      <c r="I601" t="n">
        <v>11.5</v>
      </c>
      <c r="J601" t="n">
        <v>15</v>
      </c>
      <c r="K601" t="n">
        <v>19.5</v>
      </c>
      <c r="L601" t="inlineStr">
        <is>
          <t>Kodak J-24 · stand=25min</t>
        </is>
      </c>
    </row>
    <row r="602">
      <c r="A602" t="inlineStr">
        <is>
          <t>Rollei RPX 400</t>
        </is>
      </c>
      <c r="B602" t="n">
        <v>400</v>
      </c>
      <c r="C602" t="inlineStr">
        <is>
          <t>HC-110</t>
        </is>
      </c>
      <c r="D602" t="inlineStr">
        <is>
          <t>Dil. E (1+47)</t>
        </is>
      </c>
      <c r="F602" t="n">
        <v>8</v>
      </c>
      <c r="I602" t="n">
        <v>10.5</v>
      </c>
      <c r="J602" t="n">
        <v>13.5</v>
      </c>
      <c r="K602" t="n">
        <v>17.5</v>
      </c>
      <c r="L602" t="inlineStr">
        <is>
          <t>Kodak J-24 · stand=25min</t>
        </is>
      </c>
    </row>
    <row r="603">
      <c r="A603" t="inlineStr">
        <is>
          <t>CineStill BwXX</t>
        </is>
      </c>
      <c r="B603" t="n">
        <v>250</v>
      </c>
      <c r="C603" t="inlineStr">
        <is>
          <t>HC-110</t>
        </is>
      </c>
      <c r="D603" t="inlineStr">
        <is>
          <t>Dil. H (1+63)</t>
        </is>
      </c>
      <c r="F603" t="n">
        <v>9</v>
      </c>
      <c r="I603" t="n">
        <v>11.5</v>
      </c>
      <c r="J603" t="n">
        <v>15</v>
      </c>
      <c r="K603" t="n">
        <v>19.5</v>
      </c>
      <c r="L603" t="inlineStr">
        <is>
          <t>Kodak J-24 · stand=25min</t>
        </is>
      </c>
    </row>
    <row r="604">
      <c r="A604" t="inlineStr">
        <is>
          <t>CineStill BwXX</t>
        </is>
      </c>
      <c r="B604" t="n">
        <v>250</v>
      </c>
      <c r="C604" t="inlineStr">
        <is>
          <t>HC-110</t>
        </is>
      </c>
      <c r="D604" t="inlineStr">
        <is>
          <t>Dil. E (1+47)</t>
        </is>
      </c>
      <c r="F604" t="n">
        <v>8</v>
      </c>
      <c r="I604" t="n">
        <v>10.5</v>
      </c>
      <c r="J604" t="n">
        <v>13.5</v>
      </c>
      <c r="K604" t="n">
        <v>17.5</v>
      </c>
      <c r="L604" t="inlineStr">
        <is>
          <t>Kodak J-24 · stand=25min</t>
        </is>
      </c>
    </row>
    <row r="605">
      <c r="A605" t="inlineStr">
        <is>
          <t>Ferrania P30</t>
        </is>
      </c>
      <c r="B605" t="n">
        <v>80</v>
      </c>
      <c r="C605" t="inlineStr">
        <is>
          <t>HC-110</t>
        </is>
      </c>
      <c r="D605" t="inlineStr">
        <is>
          <t>Dil. H (1+63)</t>
        </is>
      </c>
      <c r="F605" t="n">
        <v>9</v>
      </c>
      <c r="I605" t="n">
        <v>11.5</v>
      </c>
      <c r="J605" t="n">
        <v>15</v>
      </c>
      <c r="K605" t="n">
        <v>19.5</v>
      </c>
      <c r="L605" t="inlineStr">
        <is>
          <t>Kodak J-24 · stand=25min</t>
        </is>
      </c>
    </row>
    <row r="606">
      <c r="A606" t="inlineStr">
        <is>
          <t>Ferrania P30</t>
        </is>
      </c>
      <c r="B606" t="n">
        <v>80</v>
      </c>
      <c r="C606" t="inlineStr">
        <is>
          <t>HC-110</t>
        </is>
      </c>
      <c r="D606" t="inlineStr">
        <is>
          <t>Dil. E (1+47)</t>
        </is>
      </c>
      <c r="F606" t="n">
        <v>8</v>
      </c>
      <c r="I606" t="n">
        <v>10.5</v>
      </c>
      <c r="J606" t="n">
        <v>13.5</v>
      </c>
      <c r="K606" t="n">
        <v>17.5</v>
      </c>
      <c r="L606" t="inlineStr">
        <is>
          <t>Kodak J-24 · stand=25min</t>
        </is>
      </c>
    </row>
    <row r="607">
      <c r="A607" t="inlineStr">
        <is>
          <t>Lomo Lady Grey 400</t>
        </is>
      </c>
      <c r="B607" t="n">
        <v>400</v>
      </c>
      <c r="C607" t="inlineStr">
        <is>
          <t>HC-110</t>
        </is>
      </c>
      <c r="D607" t="inlineStr">
        <is>
          <t>Dil. H (1+63)</t>
        </is>
      </c>
      <c r="F607" t="n">
        <v>9</v>
      </c>
      <c r="I607" t="n">
        <v>11.5</v>
      </c>
      <c r="J607" t="n">
        <v>15</v>
      </c>
      <c r="K607" t="n">
        <v>19.5</v>
      </c>
      <c r="L607" t="inlineStr">
        <is>
          <t>Kodak J-24 · stand=25min</t>
        </is>
      </c>
    </row>
    <row r="608">
      <c r="A608" t="inlineStr">
        <is>
          <t>Lomo Lady Grey 400</t>
        </is>
      </c>
      <c r="B608" t="n">
        <v>400</v>
      </c>
      <c r="C608" t="inlineStr">
        <is>
          <t>HC-110</t>
        </is>
      </c>
      <c r="D608" t="inlineStr">
        <is>
          <t>Dil. E (1+47)</t>
        </is>
      </c>
      <c r="F608" t="n">
        <v>8</v>
      </c>
      <c r="I608" t="n">
        <v>10.5</v>
      </c>
      <c r="J608" t="n">
        <v>13.5</v>
      </c>
      <c r="K608" t="n">
        <v>17.5</v>
      </c>
      <c r="L608" t="inlineStr">
        <is>
          <t>Kodak J-24 · stand=25min</t>
        </is>
      </c>
    </row>
    <row r="609">
      <c r="A609" t="inlineStr">
        <is>
          <t>Lomo Earl Grey 100</t>
        </is>
      </c>
      <c r="B609" t="n">
        <v>100</v>
      </c>
      <c r="C609" t="inlineStr">
        <is>
          <t>HC-110</t>
        </is>
      </c>
      <c r="D609" t="inlineStr">
        <is>
          <t>Dil. H (1+63)</t>
        </is>
      </c>
      <c r="F609" t="n">
        <v>7.5</v>
      </c>
      <c r="I609" t="n">
        <v>10</v>
      </c>
      <c r="J609" t="n">
        <v>13</v>
      </c>
      <c r="K609" t="n">
        <v>17</v>
      </c>
      <c r="L609" t="inlineStr">
        <is>
          <t>Kodak J-24 · stand=25min</t>
        </is>
      </c>
    </row>
    <row r="610">
      <c r="A610" t="inlineStr">
        <is>
          <t>Lomo Earl Grey 100</t>
        </is>
      </c>
      <c r="B610" t="n">
        <v>100</v>
      </c>
      <c r="C610" t="inlineStr">
        <is>
          <t>HC-110</t>
        </is>
      </c>
      <c r="D610" t="inlineStr">
        <is>
          <t>Dil. E (1+47)</t>
        </is>
      </c>
      <c r="F610" t="n">
        <v>6.5</v>
      </c>
      <c r="I610" t="n">
        <v>8.5</v>
      </c>
      <c r="J610" t="n">
        <v>11</v>
      </c>
      <c r="K610" t="n">
        <v>14.5</v>
      </c>
      <c r="L610" t="inlineStr">
        <is>
          <t>Kodak J-24 · stand=25min</t>
        </is>
      </c>
    </row>
    <row r="611">
      <c r="A611" t="inlineStr">
        <is>
          <t>Lomo Berlin Kino 400</t>
        </is>
      </c>
      <c r="B611" t="n">
        <v>400</v>
      </c>
      <c r="C611" t="inlineStr">
        <is>
          <t>HC-110</t>
        </is>
      </c>
      <c r="D611" t="inlineStr">
        <is>
          <t>Dil. H (1+63)</t>
        </is>
      </c>
      <c r="F611" t="n">
        <v>9</v>
      </c>
      <c r="I611" t="n">
        <v>11.5</v>
      </c>
      <c r="J611" t="n">
        <v>15</v>
      </c>
      <c r="K611" t="n">
        <v>19.5</v>
      </c>
      <c r="L611" t="inlineStr">
        <is>
          <t>Kodak J-24 · stand=25min</t>
        </is>
      </c>
    </row>
    <row r="612">
      <c r="A612" t="inlineStr">
        <is>
          <t>Lomo Berlin Kino 400</t>
        </is>
      </c>
      <c r="B612" t="n">
        <v>400</v>
      </c>
      <c r="C612" t="inlineStr">
        <is>
          <t>HC-110</t>
        </is>
      </c>
      <c r="D612" t="inlineStr">
        <is>
          <t>Dil. E (1+47)</t>
        </is>
      </c>
      <c r="F612" t="n">
        <v>8</v>
      </c>
      <c r="I612" t="n">
        <v>10.5</v>
      </c>
      <c r="J612" t="n">
        <v>13.5</v>
      </c>
      <c r="K612" t="n">
        <v>17.5</v>
      </c>
      <c r="L612" t="inlineStr">
        <is>
          <t>Kodak J-24 · stand=25min</t>
        </is>
      </c>
    </row>
    <row r="613">
      <c r="A613" t="inlineStr">
        <is>
          <t>Lomo Fantome Kino 8</t>
        </is>
      </c>
      <c r="B613" t="n">
        <v>8</v>
      </c>
      <c r="C613" t="inlineStr">
        <is>
          <t>HC-110</t>
        </is>
      </c>
      <c r="D613" t="inlineStr">
        <is>
          <t>Dil. H (1+63)</t>
        </is>
      </c>
      <c r="F613" t="n">
        <v>10.5</v>
      </c>
      <c r="I613" t="n">
        <v>13.5</v>
      </c>
      <c r="J613" t="n">
        <v>17.5</v>
      </c>
      <c r="K613" t="n">
        <v>23</v>
      </c>
      <c r="L613" t="inlineStr">
        <is>
          <t>Kodak J-24 · stand=25min</t>
        </is>
      </c>
    </row>
    <row r="614">
      <c r="A614" t="inlineStr">
        <is>
          <t>Lomo Fantome Kino 8</t>
        </is>
      </c>
      <c r="B614" t="n">
        <v>8</v>
      </c>
      <c r="C614" t="inlineStr">
        <is>
          <t>HC-110</t>
        </is>
      </c>
      <c r="D614" t="inlineStr">
        <is>
          <t>Dil. E (1+47)</t>
        </is>
      </c>
      <c r="F614" t="n">
        <v>9</v>
      </c>
      <c r="I614" t="n">
        <v>11.5</v>
      </c>
      <c r="J614" t="n">
        <v>15</v>
      </c>
      <c r="K614" t="n">
        <v>19.5</v>
      </c>
      <c r="L614" t="inlineStr">
        <is>
          <t>Kodak J-24 · stand=25min</t>
        </is>
      </c>
    </row>
    <row r="615">
      <c r="A615" t="inlineStr">
        <is>
          <t>Lomo Babylon Kino 13</t>
        </is>
      </c>
      <c r="B615" t="n">
        <v>13</v>
      </c>
      <c r="C615" t="inlineStr">
        <is>
          <t>HC-110</t>
        </is>
      </c>
      <c r="D615" t="inlineStr">
        <is>
          <t>Dil. H (1+63)</t>
        </is>
      </c>
      <c r="F615" t="n">
        <v>13</v>
      </c>
      <c r="I615" t="n">
        <v>17</v>
      </c>
      <c r="J615" t="n">
        <v>22</v>
      </c>
      <c r="K615" t="n">
        <v>28.5</v>
      </c>
      <c r="L615" t="inlineStr">
        <is>
          <t>Kodak J-24 · stand=25min</t>
        </is>
      </c>
    </row>
    <row r="616">
      <c r="A616" t="inlineStr">
        <is>
          <t>Lomo Babylon Kino 13</t>
        </is>
      </c>
      <c r="B616" t="n">
        <v>13</v>
      </c>
      <c r="C616" t="inlineStr">
        <is>
          <t>HC-110</t>
        </is>
      </c>
      <c r="D616" t="inlineStr">
        <is>
          <t>Dil. E (1+47)</t>
        </is>
      </c>
      <c r="F616" t="n">
        <v>11</v>
      </c>
      <c r="I616" t="n">
        <v>14.5</v>
      </c>
      <c r="J616" t="n">
        <v>19</v>
      </c>
      <c r="K616" t="n">
        <v>24.5</v>
      </c>
      <c r="L616" t="inlineStr">
        <is>
          <t>Kodak J-24 · stand=25min</t>
        </is>
      </c>
    </row>
    <row r="617">
      <c r="A617" t="inlineStr">
        <is>
          <t>JCH Streetpan 400</t>
        </is>
      </c>
      <c r="B617" t="n">
        <v>400</v>
      </c>
      <c r="C617" t="inlineStr">
        <is>
          <t>HC-110</t>
        </is>
      </c>
      <c r="D617" t="inlineStr">
        <is>
          <t>Dil. H (1+63)</t>
        </is>
      </c>
      <c r="F617" t="n">
        <v>7.5</v>
      </c>
      <c r="I617" t="n">
        <v>10</v>
      </c>
      <c r="J617" t="n">
        <v>13</v>
      </c>
      <c r="K617" t="n">
        <v>17</v>
      </c>
      <c r="L617" t="inlineStr">
        <is>
          <t>Kodak J-24 · stand=25min</t>
        </is>
      </c>
    </row>
    <row r="618">
      <c r="A618" t="inlineStr">
        <is>
          <t>JCH Streetpan 400</t>
        </is>
      </c>
      <c r="B618" t="n">
        <v>400</v>
      </c>
      <c r="C618" t="inlineStr">
        <is>
          <t>HC-110</t>
        </is>
      </c>
      <c r="D618" t="inlineStr">
        <is>
          <t>Dil. E (1+47)</t>
        </is>
      </c>
      <c r="F618" t="n">
        <v>6.5</v>
      </c>
      <c r="I618" t="n">
        <v>8.5</v>
      </c>
      <c r="J618" t="n">
        <v>11</v>
      </c>
      <c r="K618" t="n">
        <v>14.5</v>
      </c>
      <c r="L618" t="inlineStr">
        <is>
          <t>Kodak J-24 · stand=25min</t>
        </is>
      </c>
    </row>
    <row r="619">
      <c r="A619" t="inlineStr">
        <is>
          <t>Kodak Double-X 5222</t>
        </is>
      </c>
      <c r="B619" t="n">
        <v>250</v>
      </c>
      <c r="C619" t="inlineStr">
        <is>
          <t>HC-110</t>
        </is>
      </c>
      <c r="D619" t="inlineStr">
        <is>
          <t>Dil. E (1+47)</t>
        </is>
      </c>
      <c r="F619" t="n">
        <v>8</v>
      </c>
      <c r="I619" t="n">
        <v>10.5</v>
      </c>
      <c r="J619" t="n">
        <v>13.5</v>
      </c>
      <c r="K619" t="n">
        <v>17.5</v>
      </c>
      <c r="L619" t="inlineStr">
        <is>
          <t>Kodak J-24 · stand=25min</t>
        </is>
      </c>
    </row>
    <row r="620">
      <c r="A620" t="inlineStr">
        <is>
          <t>Foma Retropan 320</t>
        </is>
      </c>
      <c r="B620" t="n">
        <v>320</v>
      </c>
      <c r="C620" t="inlineStr">
        <is>
          <t>HC-110</t>
        </is>
      </c>
      <c r="D620" t="inlineStr">
        <is>
          <t>Dil. H (1+63)</t>
        </is>
      </c>
      <c r="F620" t="n">
        <v>11</v>
      </c>
      <c r="I620" t="n">
        <v>14.5</v>
      </c>
      <c r="J620" t="n">
        <v>19</v>
      </c>
      <c r="K620" t="n">
        <v>24.5</v>
      </c>
      <c r="L620" t="inlineStr">
        <is>
          <t>Kodak J-24 · stand=25min</t>
        </is>
      </c>
    </row>
    <row r="621">
      <c r="A621" t="inlineStr">
        <is>
          <t>Foma Retropan 320</t>
        </is>
      </c>
      <c r="B621" t="n">
        <v>320</v>
      </c>
      <c r="C621" t="inlineStr">
        <is>
          <t>HC-110</t>
        </is>
      </c>
      <c r="D621" t="inlineStr">
        <is>
          <t>Dil. E (1+47)</t>
        </is>
      </c>
      <c r="F621" t="n">
        <v>10</v>
      </c>
      <c r="I621" t="n">
        <v>13</v>
      </c>
      <c r="J621" t="n">
        <v>17</v>
      </c>
      <c r="K621" t="n">
        <v>22</v>
      </c>
      <c r="L621" t="inlineStr">
        <is>
          <t>Kodak J-24 · stand=25min</t>
        </is>
      </c>
    </row>
    <row r="622">
      <c r="A622" t="inlineStr">
        <is>
          <t>Ilford HP5 Plus</t>
        </is>
      </c>
      <c r="B622" t="n">
        <v>400</v>
      </c>
      <c r="C622" t="inlineStr">
        <is>
          <t>HC-110</t>
        </is>
      </c>
      <c r="D622" t="inlineStr">
        <is>
          <t>Dil. H (1+63)</t>
        </is>
      </c>
      <c r="F622" t="n">
        <v>12</v>
      </c>
      <c r="I622" t="n">
        <v>15.5</v>
      </c>
      <c r="J622" t="n">
        <v>20</v>
      </c>
      <c r="K622" t="n">
        <v>26</v>
      </c>
      <c r="L622" t="inlineStr">
        <is>
          <t>Kodak J-24 · stand=25min</t>
        </is>
      </c>
    </row>
    <row r="623">
      <c r="A623" t="inlineStr">
        <is>
          <t>Ilford HP5 Plus</t>
        </is>
      </c>
      <c r="B623" t="n">
        <v>400</v>
      </c>
      <c r="C623" t="inlineStr">
        <is>
          <t>HC-110</t>
        </is>
      </c>
      <c r="D623" t="inlineStr">
        <is>
          <t>Dil. E (1+47)</t>
        </is>
      </c>
      <c r="F623" t="n">
        <v>10.5</v>
      </c>
      <c r="I623" t="n">
        <v>13.5</v>
      </c>
      <c r="J623" t="n">
        <v>17.5</v>
      </c>
      <c r="K623" t="n">
        <v>23</v>
      </c>
      <c r="L623" t="inlineStr">
        <is>
          <t>Kodak J-24 · stand=25min</t>
        </is>
      </c>
    </row>
    <row r="624">
      <c r="A624" t="inlineStr">
        <is>
          <t>Ilford Delta 400</t>
        </is>
      </c>
      <c r="B624" t="n">
        <v>400</v>
      </c>
      <c r="C624" t="inlineStr">
        <is>
          <t>HC-110</t>
        </is>
      </c>
      <c r="D624" t="inlineStr">
        <is>
          <t>Dil. H (1+63)</t>
        </is>
      </c>
      <c r="F624" t="n">
        <v>11</v>
      </c>
      <c r="I624" t="n">
        <v>14</v>
      </c>
      <c r="J624" t="n">
        <v>17.5</v>
      </c>
      <c r="K624" t="n">
        <v>22</v>
      </c>
      <c r="L624" t="inlineStr">
        <is>
          <t>Kodak J-24 · stand=25min</t>
        </is>
      </c>
    </row>
    <row r="625">
      <c r="A625" t="inlineStr">
        <is>
          <t>Ilford Delta 400</t>
        </is>
      </c>
      <c r="B625" t="n">
        <v>400</v>
      </c>
      <c r="C625" t="inlineStr">
        <is>
          <t>HC-110</t>
        </is>
      </c>
      <c r="D625" t="inlineStr">
        <is>
          <t>Dil. E (1+47)</t>
        </is>
      </c>
      <c r="F625" t="n">
        <v>10</v>
      </c>
      <c r="I625" t="n">
        <v>12.5</v>
      </c>
      <c r="J625" t="n">
        <v>15.5</v>
      </c>
      <c r="K625" t="n">
        <v>19.5</v>
      </c>
      <c r="L625" t="inlineStr">
        <is>
          <t>Kodak J-24 · stand=25min</t>
        </is>
      </c>
    </row>
    <row r="626">
      <c r="A626" t="inlineStr">
        <is>
          <t>Ilford Pan F Plus</t>
        </is>
      </c>
      <c r="B626" t="n">
        <v>50</v>
      </c>
      <c r="C626" t="inlineStr">
        <is>
          <t>HC-110</t>
        </is>
      </c>
      <c r="D626" t="inlineStr">
        <is>
          <t>Dil. H (1+63)</t>
        </is>
      </c>
      <c r="F626" t="n">
        <v>10.5</v>
      </c>
      <c r="I626" t="n">
        <v>13.5</v>
      </c>
      <c r="J626" t="n">
        <v>17.5</v>
      </c>
      <c r="K626" t="n">
        <v>23</v>
      </c>
      <c r="L626" t="inlineStr">
        <is>
          <t>Kodak J-24 · stand=25min</t>
        </is>
      </c>
    </row>
    <row r="627">
      <c r="A627" t="inlineStr">
        <is>
          <t>Ilford Pan F Plus</t>
        </is>
      </c>
      <c r="B627" t="n">
        <v>50</v>
      </c>
      <c r="C627" t="inlineStr">
        <is>
          <t>HC-110</t>
        </is>
      </c>
      <c r="D627" t="inlineStr">
        <is>
          <t>Dil. E (1+47)</t>
        </is>
      </c>
      <c r="F627" t="n">
        <v>9</v>
      </c>
      <c r="I627" t="n">
        <v>11.5</v>
      </c>
      <c r="J627" t="n">
        <v>15</v>
      </c>
      <c r="K627" t="n">
        <v>19.5</v>
      </c>
      <c r="L627" t="inlineStr">
        <is>
          <t>Kodak J-24 · stand=25min</t>
        </is>
      </c>
    </row>
    <row r="628">
      <c r="A628" t="inlineStr">
        <is>
          <t>Ilford FP4 Plus</t>
        </is>
      </c>
      <c r="B628" t="n">
        <v>125</v>
      </c>
      <c r="C628" t="inlineStr">
        <is>
          <t>HC-110</t>
        </is>
      </c>
      <c r="D628" t="inlineStr">
        <is>
          <t>Dil. H (1+63)</t>
        </is>
      </c>
      <c r="F628" t="n">
        <v>8</v>
      </c>
      <c r="I628" t="n">
        <v>10.5</v>
      </c>
      <c r="J628" t="n">
        <v>13.5</v>
      </c>
      <c r="K628" t="n">
        <v>17.5</v>
      </c>
      <c r="L628" t="inlineStr">
        <is>
          <t>Kodak J-24 · stand=25min</t>
        </is>
      </c>
    </row>
    <row r="629">
      <c r="A629" t="inlineStr">
        <is>
          <t>Ilford FP4 Plus</t>
        </is>
      </c>
      <c r="B629" t="n">
        <v>125</v>
      </c>
      <c r="C629" t="inlineStr">
        <is>
          <t>HC-110</t>
        </is>
      </c>
      <c r="D629" t="inlineStr">
        <is>
          <t>Dil. E (1+47)</t>
        </is>
      </c>
      <c r="F629" t="n">
        <v>7</v>
      </c>
      <c r="I629" t="n">
        <v>9</v>
      </c>
      <c r="J629" t="n">
        <v>11.5</v>
      </c>
      <c r="K629" t="n">
        <v>15</v>
      </c>
      <c r="L629" t="inlineStr">
        <is>
          <t>Kodak J-24 · stand=25min</t>
        </is>
      </c>
    </row>
    <row r="630">
      <c r="A630" t="inlineStr">
        <is>
          <t>Ilford Delta 100</t>
        </is>
      </c>
      <c r="B630" t="n">
        <v>100</v>
      </c>
      <c r="C630" t="inlineStr">
        <is>
          <t>HC-110</t>
        </is>
      </c>
      <c r="D630" t="inlineStr">
        <is>
          <t>Dil. H (1+63)</t>
        </is>
      </c>
      <c r="F630" t="n">
        <v>9</v>
      </c>
      <c r="I630" t="n">
        <v>11</v>
      </c>
      <c r="J630" t="n">
        <v>14</v>
      </c>
      <c r="K630" t="n">
        <v>17.5</v>
      </c>
      <c r="L630" t="inlineStr">
        <is>
          <t>Kodak J-24 · stand=25min</t>
        </is>
      </c>
    </row>
    <row r="631">
      <c r="A631" t="inlineStr">
        <is>
          <t>Ilford Delta 100</t>
        </is>
      </c>
      <c r="B631" t="n">
        <v>100</v>
      </c>
      <c r="C631" t="inlineStr">
        <is>
          <t>HC-110</t>
        </is>
      </c>
      <c r="D631" t="inlineStr">
        <is>
          <t>Dil. E (1+47)</t>
        </is>
      </c>
      <c r="F631" t="n">
        <v>8</v>
      </c>
      <c r="I631" t="n">
        <v>10</v>
      </c>
      <c r="J631" t="n">
        <v>12.5</v>
      </c>
      <c r="K631" t="n">
        <v>15.5</v>
      </c>
      <c r="L631" t="inlineStr">
        <is>
          <t>Kodak J-24 · stand=25min</t>
        </is>
      </c>
    </row>
    <row r="632">
      <c r="A632" t="inlineStr">
        <is>
          <t>Ilford SFX 200</t>
        </is>
      </c>
      <c r="B632" t="n">
        <v>200</v>
      </c>
      <c r="C632" t="inlineStr">
        <is>
          <t>HC-110</t>
        </is>
      </c>
      <c r="D632" t="inlineStr">
        <is>
          <t>Dil. H (1+63)</t>
        </is>
      </c>
      <c r="F632" t="n">
        <v>14</v>
      </c>
      <c r="I632" t="n">
        <v>18</v>
      </c>
      <c r="J632" t="n">
        <v>23.5</v>
      </c>
      <c r="K632" t="n">
        <v>30.5</v>
      </c>
      <c r="L632" t="inlineStr">
        <is>
          <t>Kodak J-24 · stand=25min</t>
        </is>
      </c>
    </row>
    <row r="633">
      <c r="A633" t="inlineStr">
        <is>
          <t>Ilford SFX 200</t>
        </is>
      </c>
      <c r="B633" t="n">
        <v>200</v>
      </c>
      <c r="C633" t="inlineStr">
        <is>
          <t>HC-110</t>
        </is>
      </c>
      <c r="D633" t="inlineStr">
        <is>
          <t>Dil. E (1+47)</t>
        </is>
      </c>
      <c r="F633" t="n">
        <v>12.5</v>
      </c>
      <c r="I633" t="n">
        <v>16</v>
      </c>
      <c r="J633" t="n">
        <v>21</v>
      </c>
      <c r="K633" t="n">
        <v>27.5</v>
      </c>
      <c r="L633" t="inlineStr">
        <is>
          <t>Kodak J-24 · stand=25min</t>
        </is>
      </c>
    </row>
    <row r="634">
      <c r="A634" t="inlineStr">
        <is>
          <t>Ilford Delta 3200</t>
        </is>
      </c>
      <c r="B634" t="n">
        <v>3200</v>
      </c>
      <c r="C634" t="inlineStr">
        <is>
          <t>HC-110</t>
        </is>
      </c>
      <c r="D634" t="inlineStr">
        <is>
          <t>Dil. H (1+63)</t>
        </is>
      </c>
      <c r="F634" t="n">
        <v>16</v>
      </c>
      <c r="I634" t="n">
        <v>20</v>
      </c>
      <c r="J634" t="n">
        <v>25</v>
      </c>
      <c r="K634" t="n">
        <v>31</v>
      </c>
      <c r="L634" t="inlineStr">
        <is>
          <t>Kodak J-24 · stand=25min</t>
        </is>
      </c>
    </row>
    <row r="635">
      <c r="A635" t="inlineStr">
        <is>
          <t>Ilford Delta 3200</t>
        </is>
      </c>
      <c r="B635" t="n">
        <v>3200</v>
      </c>
      <c r="C635" t="inlineStr">
        <is>
          <t>HC-110</t>
        </is>
      </c>
      <c r="D635" t="inlineStr">
        <is>
          <t>Dil. E (1+47)</t>
        </is>
      </c>
      <c r="F635" t="n">
        <v>13.5</v>
      </c>
      <c r="I635" t="n">
        <v>17</v>
      </c>
      <c r="J635" t="n">
        <v>21</v>
      </c>
      <c r="K635" t="n">
        <v>26</v>
      </c>
      <c r="L635" t="inlineStr">
        <is>
          <t>Kodak J-24 · stand=25min</t>
        </is>
      </c>
    </row>
    <row r="636">
      <c r="A636" t="inlineStr">
        <is>
          <t>Adox CHS 100 II</t>
        </is>
      </c>
      <c r="B636" t="n">
        <v>100</v>
      </c>
      <c r="C636" t="inlineStr">
        <is>
          <t>HC-110</t>
        </is>
      </c>
      <c r="D636" t="inlineStr">
        <is>
          <t>Dil. H (1+63)</t>
        </is>
      </c>
      <c r="F636" t="n">
        <v>8</v>
      </c>
      <c r="I636" t="n">
        <v>10.5</v>
      </c>
      <c r="J636" t="n">
        <v>13.5</v>
      </c>
      <c r="K636" t="n">
        <v>17.5</v>
      </c>
      <c r="L636" t="inlineStr">
        <is>
          <t>Kodak J-24 · stand=25min</t>
        </is>
      </c>
    </row>
    <row r="637">
      <c r="A637" t="inlineStr">
        <is>
          <t>Adox CHS 100 II</t>
        </is>
      </c>
      <c r="B637" t="n">
        <v>100</v>
      </c>
      <c r="C637" t="inlineStr">
        <is>
          <t>HC-110</t>
        </is>
      </c>
      <c r="D637" t="inlineStr">
        <is>
          <t>Dil. E (1+47)</t>
        </is>
      </c>
      <c r="F637" t="n">
        <v>7</v>
      </c>
      <c r="I637" t="n">
        <v>9</v>
      </c>
      <c r="J637" t="n">
        <v>11.5</v>
      </c>
      <c r="K637" t="n">
        <v>15</v>
      </c>
      <c r="L637" t="inlineStr">
        <is>
          <t>Kodak J-24 · stand=25min</t>
        </is>
      </c>
    </row>
    <row r="638">
      <c r="A638" t="inlineStr">
        <is>
          <t>Ilford HP5 Plus</t>
        </is>
      </c>
      <c r="B638" t="n">
        <v>400</v>
      </c>
      <c r="C638" t="inlineStr">
        <is>
          <t>Ilfotec HC</t>
        </is>
      </c>
      <c r="D638" t="inlineStr">
        <is>
          <t>1+47 (Dil.E)</t>
        </is>
      </c>
      <c r="F638" t="n">
        <v>10.5</v>
      </c>
      <c r="I638" t="n">
        <v>13.5</v>
      </c>
      <c r="J638" t="n">
        <v>17.5</v>
      </c>
      <c r="K638" t="n">
        <v>23</v>
      </c>
      <c r="L638" t="inlineStr">
        <is>
          <t>Ilfotec HC equiv. Dil.E · stand=25min</t>
        </is>
      </c>
    </row>
    <row r="639">
      <c r="A639" t="inlineStr">
        <is>
          <t>Ilford HP5 Plus</t>
        </is>
      </c>
      <c r="B639" t="n">
        <v>400</v>
      </c>
      <c r="C639" t="inlineStr">
        <is>
          <t>Ilfotec HC</t>
        </is>
      </c>
      <c r="D639" t="inlineStr">
        <is>
          <t>Dil. H (1+63)</t>
        </is>
      </c>
      <c r="F639" t="n">
        <v>12</v>
      </c>
      <c r="I639" t="n">
        <v>15.5</v>
      </c>
      <c r="J639" t="n">
        <v>20</v>
      </c>
      <c r="K639" t="n">
        <v>26</v>
      </c>
      <c r="L639" t="inlineStr">
        <is>
          <t>Ilfotec HC equiv. Dil.H · stand=25min</t>
        </is>
      </c>
    </row>
    <row r="640">
      <c r="A640" t="inlineStr">
        <is>
          <t>Ilford FP4 Plus</t>
        </is>
      </c>
      <c r="B640" t="n">
        <v>125</v>
      </c>
      <c r="C640" t="inlineStr">
        <is>
          <t>Ilfotec HC</t>
        </is>
      </c>
      <c r="D640" t="inlineStr">
        <is>
          <t>1+47 (Dil.E)</t>
        </is>
      </c>
      <c r="F640" t="n">
        <v>9</v>
      </c>
      <c r="I640" t="n">
        <v>11.5</v>
      </c>
      <c r="J640" t="n">
        <v>15</v>
      </c>
      <c r="K640" t="n">
        <v>19.5</v>
      </c>
      <c r="L640" t="inlineStr">
        <is>
          <t>Ilfotec HC equiv. Dil.E · stand=25min</t>
        </is>
      </c>
    </row>
    <row r="641">
      <c r="A641" t="inlineStr">
        <is>
          <t>Ilford FP4 Plus</t>
        </is>
      </c>
      <c r="B641" t="n">
        <v>125</v>
      </c>
      <c r="C641" t="inlineStr">
        <is>
          <t>Ilfotec HC</t>
        </is>
      </c>
      <c r="D641" t="inlineStr">
        <is>
          <t>Dil. H (1+63)</t>
        </is>
      </c>
      <c r="F641" t="n">
        <v>10.5</v>
      </c>
      <c r="I641" t="n">
        <v>13.5</v>
      </c>
      <c r="J641" t="n">
        <v>17.5</v>
      </c>
      <c r="K641" t="n">
        <v>23</v>
      </c>
      <c r="L641" t="inlineStr">
        <is>
          <t>Ilfotec HC equiv. Dil.H · stand=25min</t>
        </is>
      </c>
    </row>
    <row r="642">
      <c r="A642" t="inlineStr">
        <is>
          <t>Ilford Delta 400</t>
        </is>
      </c>
      <c r="B642" t="n">
        <v>400</v>
      </c>
      <c r="C642" t="inlineStr">
        <is>
          <t>Ilfotec HC</t>
        </is>
      </c>
      <c r="D642" t="inlineStr">
        <is>
          <t>1+47 (Dil.E)</t>
        </is>
      </c>
      <c r="F642" t="n">
        <v>10</v>
      </c>
      <c r="I642" t="n">
        <v>12.5</v>
      </c>
      <c r="J642" t="n">
        <v>15.5</v>
      </c>
      <c r="K642" t="n">
        <v>19.5</v>
      </c>
      <c r="L642" t="inlineStr">
        <is>
          <t>Ilfotec HC equiv. Dil.E · stand=25min</t>
        </is>
      </c>
    </row>
    <row r="643">
      <c r="A643" t="inlineStr">
        <is>
          <t>Ilford Delta 400</t>
        </is>
      </c>
      <c r="B643" t="n">
        <v>400</v>
      </c>
      <c r="C643" t="inlineStr">
        <is>
          <t>Ilfotec HC</t>
        </is>
      </c>
      <c r="D643" t="inlineStr">
        <is>
          <t>Dil. H (1+63)</t>
        </is>
      </c>
      <c r="F643" t="n">
        <v>11</v>
      </c>
      <c r="I643" t="n">
        <v>14</v>
      </c>
      <c r="J643" t="n">
        <v>17.5</v>
      </c>
      <c r="K643" t="n">
        <v>22</v>
      </c>
      <c r="L643" t="inlineStr">
        <is>
          <t>Ilfotec HC equiv. Dil.H · stand=25min</t>
        </is>
      </c>
    </row>
    <row r="644">
      <c r="A644" t="inlineStr">
        <is>
          <t>Lomo Fantome Kino 8</t>
        </is>
      </c>
      <c r="B644" t="n">
        <v>8</v>
      </c>
      <c r="C644" t="inlineStr">
        <is>
          <t>Ilfotec HC</t>
        </is>
      </c>
      <c r="D644" t="inlineStr">
        <is>
          <t>1+47 (Dil.E)</t>
        </is>
      </c>
      <c r="F644" t="n">
        <v>9</v>
      </c>
      <c r="I644" t="n">
        <v>11.5</v>
      </c>
      <c r="J644" t="n">
        <v>15</v>
      </c>
      <c r="K644" t="n">
        <v>19.5</v>
      </c>
      <c r="L644" t="inlineStr">
        <is>
          <t>Ilfotec HC equiv. Dil.E · stand=25min</t>
        </is>
      </c>
    </row>
    <row r="645">
      <c r="A645" t="inlineStr">
        <is>
          <t>Lomo Fantome Kino 8</t>
        </is>
      </c>
      <c r="B645" t="n">
        <v>8</v>
      </c>
      <c r="C645" t="inlineStr">
        <is>
          <t>Ilfotec HC</t>
        </is>
      </c>
      <c r="D645" t="inlineStr">
        <is>
          <t>Dil. H (1+63)</t>
        </is>
      </c>
      <c r="F645" t="n">
        <v>10.5</v>
      </c>
      <c r="I645" t="n">
        <v>13.5</v>
      </c>
      <c r="J645" t="n">
        <v>17.5</v>
      </c>
      <c r="K645" t="n">
        <v>23</v>
      </c>
      <c r="L645" t="inlineStr">
        <is>
          <t>Ilfotec HC equiv. Dil.H · stand=25min</t>
        </is>
      </c>
    </row>
    <row r="646">
      <c r="A646" t="inlineStr">
        <is>
          <t>Lomo Babylon Kino 13</t>
        </is>
      </c>
      <c r="B646" t="n">
        <v>13</v>
      </c>
      <c r="C646" t="inlineStr">
        <is>
          <t>Ilfotec HC</t>
        </is>
      </c>
      <c r="D646" t="inlineStr">
        <is>
          <t>1+47 (Dil.E)</t>
        </is>
      </c>
      <c r="F646" t="n">
        <v>11</v>
      </c>
      <c r="I646" t="n">
        <v>14.5</v>
      </c>
      <c r="J646" t="n">
        <v>19</v>
      </c>
      <c r="K646" t="n">
        <v>24.5</v>
      </c>
      <c r="L646" t="inlineStr">
        <is>
          <t>Ilfotec HC equiv. Dil.E · stand=25min</t>
        </is>
      </c>
    </row>
    <row r="647">
      <c r="A647" t="inlineStr">
        <is>
          <t>Lomo Babylon Kino 13</t>
        </is>
      </c>
      <c r="B647" t="n">
        <v>13</v>
      </c>
      <c r="C647" t="inlineStr">
        <is>
          <t>Ilfotec HC</t>
        </is>
      </c>
      <c r="D647" t="inlineStr">
        <is>
          <t>Dil. H (1+63)</t>
        </is>
      </c>
      <c r="F647" t="n">
        <v>13</v>
      </c>
      <c r="I647" t="n">
        <v>17</v>
      </c>
      <c r="J647" t="n">
        <v>22</v>
      </c>
      <c r="K647" t="n">
        <v>28.5</v>
      </c>
      <c r="L647" t="inlineStr">
        <is>
          <t>Ilfotec HC equiv. Dil.H · stand=25min</t>
        </is>
      </c>
    </row>
    <row r="648">
      <c r="A648" t="inlineStr">
        <is>
          <t>Ilford Kentmere 100</t>
        </is>
      </c>
      <c r="B648" t="n">
        <v>100</v>
      </c>
      <c r="C648" t="inlineStr">
        <is>
          <t>Ilfotec HC</t>
        </is>
      </c>
      <c r="D648" t="inlineStr">
        <is>
          <t>1+47 (Dil.E)</t>
        </is>
      </c>
      <c r="F648" t="n">
        <v>8.5</v>
      </c>
      <c r="I648" t="n">
        <v>11</v>
      </c>
      <c r="J648" t="n">
        <v>14.5</v>
      </c>
      <c r="K648" t="n">
        <v>19</v>
      </c>
      <c r="L648" t="inlineStr">
        <is>
          <t>Ilfotec HC equiv. Dil.E · stand=25min</t>
        </is>
      </c>
    </row>
    <row r="649">
      <c r="A649" t="inlineStr">
        <is>
          <t>Ilford Kentmere 100</t>
        </is>
      </c>
      <c r="B649" t="n">
        <v>100</v>
      </c>
      <c r="C649" t="inlineStr">
        <is>
          <t>Ilfotec HC</t>
        </is>
      </c>
      <c r="D649" t="inlineStr">
        <is>
          <t>Dil. H (1+63)</t>
        </is>
      </c>
      <c r="F649" t="n">
        <v>10</v>
      </c>
      <c r="I649" t="n">
        <v>13</v>
      </c>
      <c r="J649" t="n">
        <v>17</v>
      </c>
      <c r="K649" t="n">
        <v>22</v>
      </c>
      <c r="L649" t="inlineStr">
        <is>
          <t>Ilfotec HC equiv. Dil.H · stand=25min</t>
        </is>
      </c>
    </row>
    <row r="650">
      <c r="A650" t="inlineStr">
        <is>
          <t>Ilford Kentmere 400</t>
        </is>
      </c>
      <c r="B650" t="n">
        <v>400</v>
      </c>
      <c r="C650" t="inlineStr">
        <is>
          <t>Ilfotec HC</t>
        </is>
      </c>
      <c r="D650" t="inlineStr">
        <is>
          <t>1+47 (Dil.E)</t>
        </is>
      </c>
      <c r="F650" t="n">
        <v>10.5</v>
      </c>
      <c r="I650" t="n">
        <v>13.5</v>
      </c>
      <c r="J650" t="n">
        <v>17.5</v>
      </c>
      <c r="K650" t="n">
        <v>23</v>
      </c>
      <c r="L650" t="inlineStr">
        <is>
          <t>Ilfotec HC equiv. Dil.E · stand=25min</t>
        </is>
      </c>
    </row>
    <row r="651">
      <c r="A651" t="inlineStr">
        <is>
          <t>Ilford Kentmere 400</t>
        </is>
      </c>
      <c r="B651" t="n">
        <v>400</v>
      </c>
      <c r="C651" t="inlineStr">
        <is>
          <t>Ilfotec HC</t>
        </is>
      </c>
      <c r="D651" t="inlineStr">
        <is>
          <t>Dil. H (1+63)</t>
        </is>
      </c>
      <c r="F651" t="n">
        <v>12</v>
      </c>
      <c r="I651" t="n">
        <v>15.5</v>
      </c>
      <c r="J651" t="n">
        <v>20</v>
      </c>
      <c r="K651" t="n">
        <v>26</v>
      </c>
      <c r="L651" t="inlineStr">
        <is>
          <t>Ilfotec HC equiv. Dil.H · stand=25min</t>
        </is>
      </c>
    </row>
    <row r="652">
      <c r="A652" t="inlineStr">
        <is>
          <t>Kodak Tri-X 400</t>
        </is>
      </c>
      <c r="B652" t="n">
        <v>400</v>
      </c>
      <c r="C652" t="inlineStr">
        <is>
          <t>Ilfotec HC</t>
        </is>
      </c>
      <c r="D652" t="inlineStr">
        <is>
          <t>1+47 (Dil.E)</t>
        </is>
      </c>
      <c r="F652" t="n">
        <v>6</v>
      </c>
      <c r="I652" t="n">
        <v>8</v>
      </c>
      <c r="J652" t="n">
        <v>10.5</v>
      </c>
      <c r="K652" t="n">
        <v>13.5</v>
      </c>
      <c r="L652" t="inlineStr">
        <is>
          <t>Ilfotec HC equiv. Dil.E · stand=25min</t>
        </is>
      </c>
    </row>
    <row r="653">
      <c r="A653" t="inlineStr">
        <is>
          <t>Kodak Tri-X 400</t>
        </is>
      </c>
      <c r="B653" t="n">
        <v>400</v>
      </c>
      <c r="C653" t="inlineStr">
        <is>
          <t>Ilfotec HC</t>
        </is>
      </c>
      <c r="D653" t="inlineStr">
        <is>
          <t>Dil. H (1+63)</t>
        </is>
      </c>
      <c r="F653" t="n">
        <v>7</v>
      </c>
      <c r="I653" t="n">
        <v>9</v>
      </c>
      <c r="J653" t="n">
        <v>11.5</v>
      </c>
      <c r="K653" t="n">
        <v>15</v>
      </c>
      <c r="L653" t="inlineStr">
        <is>
          <t>Ilfotec HC equiv. Dil.H · stand=25min</t>
        </is>
      </c>
    </row>
    <row r="654">
      <c r="A654" t="inlineStr">
        <is>
          <t>Kodak T-MAX 100</t>
        </is>
      </c>
      <c r="B654" t="n">
        <v>100</v>
      </c>
      <c r="C654" t="inlineStr">
        <is>
          <t>Ilfotec HC</t>
        </is>
      </c>
      <c r="D654" t="inlineStr">
        <is>
          <t>1+47 (Dil.E)</t>
        </is>
      </c>
      <c r="F654" t="n">
        <v>8.5</v>
      </c>
      <c r="I654" t="n">
        <v>10.5</v>
      </c>
      <c r="J654" t="n">
        <v>13</v>
      </c>
      <c r="K654" t="n">
        <v>16</v>
      </c>
      <c r="L654" t="inlineStr">
        <is>
          <t>Ilfotec HC equiv. Dil.E · stand=25min</t>
        </is>
      </c>
    </row>
    <row r="655">
      <c r="A655" t="inlineStr">
        <is>
          <t>Kodak T-MAX 100</t>
        </is>
      </c>
      <c r="B655" t="n">
        <v>100</v>
      </c>
      <c r="C655" t="inlineStr">
        <is>
          <t>Ilfotec HC</t>
        </is>
      </c>
      <c r="D655" t="inlineStr">
        <is>
          <t>Dil. H (1+63)</t>
        </is>
      </c>
      <c r="F655" t="n">
        <v>10</v>
      </c>
      <c r="I655" t="n">
        <v>12.5</v>
      </c>
      <c r="J655" t="n">
        <v>15.5</v>
      </c>
      <c r="K655" t="n">
        <v>19.5</v>
      </c>
      <c r="L655" t="inlineStr">
        <is>
          <t>Ilfotec HC equiv. Dil.H · stand=25min</t>
        </is>
      </c>
    </row>
    <row r="656">
      <c r="A656" t="inlineStr">
        <is>
          <t>Kodak T-MAX 400</t>
        </is>
      </c>
      <c r="B656" t="n">
        <v>400</v>
      </c>
      <c r="C656" t="inlineStr">
        <is>
          <t>Ilfotec HC</t>
        </is>
      </c>
      <c r="D656" t="inlineStr">
        <is>
          <t>1+47 (Dil.E)</t>
        </is>
      </c>
      <c r="F656" t="n">
        <v>8</v>
      </c>
      <c r="I656" t="n">
        <v>10</v>
      </c>
      <c r="J656" t="n">
        <v>12.5</v>
      </c>
      <c r="K656" t="n">
        <v>15.5</v>
      </c>
      <c r="L656" t="inlineStr">
        <is>
          <t>Ilfotec HC equiv. Dil.E · stand=25min</t>
        </is>
      </c>
    </row>
    <row r="657">
      <c r="A657" t="inlineStr">
        <is>
          <t>Kodak T-MAX 400</t>
        </is>
      </c>
      <c r="B657" t="n">
        <v>400</v>
      </c>
      <c r="C657" t="inlineStr">
        <is>
          <t>Ilfotec HC</t>
        </is>
      </c>
      <c r="D657" t="inlineStr">
        <is>
          <t>Dil. H (1+63)</t>
        </is>
      </c>
      <c r="F657" t="n">
        <v>9</v>
      </c>
      <c r="I657" t="n">
        <v>11</v>
      </c>
      <c r="J657" t="n">
        <v>14</v>
      </c>
      <c r="K657" t="n">
        <v>17.5</v>
      </c>
      <c r="L657" t="inlineStr">
        <is>
          <t>Ilfotec HC equiv. Dil.H · stand=25min</t>
        </is>
      </c>
    </row>
    <row r="658">
      <c r="A658" t="inlineStr">
        <is>
          <t>Fomapan 100</t>
        </is>
      </c>
      <c r="B658" t="n">
        <v>100</v>
      </c>
      <c r="C658" t="inlineStr">
        <is>
          <t>Ilfotec HC</t>
        </is>
      </c>
      <c r="D658" t="inlineStr">
        <is>
          <t>1+47 (Dil.E)</t>
        </is>
      </c>
      <c r="F658" t="n">
        <v>6.5</v>
      </c>
      <c r="I658" t="n">
        <v>8.5</v>
      </c>
      <c r="J658" t="n">
        <v>11</v>
      </c>
      <c r="K658" t="n">
        <v>14.5</v>
      </c>
      <c r="L658" t="inlineStr">
        <is>
          <t>Ilfotec HC equiv. Dil.E · stand=25min</t>
        </is>
      </c>
    </row>
    <row r="659">
      <c r="A659" t="inlineStr">
        <is>
          <t>Fomapan 100</t>
        </is>
      </c>
      <c r="B659" t="n">
        <v>100</v>
      </c>
      <c r="C659" t="inlineStr">
        <is>
          <t>Ilfotec HC</t>
        </is>
      </c>
      <c r="D659" t="inlineStr">
        <is>
          <t>Dil. H (1+63)</t>
        </is>
      </c>
      <c r="F659" t="n">
        <v>7.5</v>
      </c>
      <c r="I659" t="n">
        <v>10</v>
      </c>
      <c r="J659" t="n">
        <v>13</v>
      </c>
      <c r="K659" t="n">
        <v>17</v>
      </c>
      <c r="L659" t="inlineStr">
        <is>
          <t>Ilfotec HC equiv. Dil.H · stand=25min</t>
        </is>
      </c>
    </row>
    <row r="660">
      <c r="A660" t="inlineStr">
        <is>
          <t>Fomapan 400</t>
        </is>
      </c>
      <c r="B660" t="n">
        <v>400</v>
      </c>
      <c r="C660" t="inlineStr">
        <is>
          <t>Ilfotec HC</t>
        </is>
      </c>
      <c r="D660" t="inlineStr">
        <is>
          <t>1+47 (Dil.E)</t>
        </is>
      </c>
      <c r="F660" t="n">
        <v>8</v>
      </c>
      <c r="I660" t="n">
        <v>10.5</v>
      </c>
      <c r="J660" t="n">
        <v>13.5</v>
      </c>
      <c r="K660" t="n">
        <v>17.5</v>
      </c>
      <c r="L660" t="inlineStr">
        <is>
          <t>Ilfotec HC equiv. Dil.E · stand=25min</t>
        </is>
      </c>
    </row>
    <row r="661">
      <c r="A661" t="inlineStr">
        <is>
          <t>Fomapan 400</t>
        </is>
      </c>
      <c r="B661" t="n">
        <v>400</v>
      </c>
      <c r="C661" t="inlineStr">
        <is>
          <t>Ilfotec HC</t>
        </is>
      </c>
      <c r="D661" t="inlineStr">
        <is>
          <t>Dil. H (1+63)</t>
        </is>
      </c>
      <c r="F661" t="n">
        <v>9</v>
      </c>
      <c r="I661" t="n">
        <v>11.5</v>
      </c>
      <c r="J661" t="n">
        <v>15</v>
      </c>
      <c r="K661" t="n">
        <v>19.5</v>
      </c>
      <c r="L661" t="inlineStr">
        <is>
          <t>Ilfotec HC equiv. Dil.H · stand=25min</t>
        </is>
      </c>
    </row>
    <row r="662">
      <c r="A662" t="inlineStr">
        <is>
          <t>Ilford Delta 100</t>
        </is>
      </c>
      <c r="B662" t="n">
        <v>100</v>
      </c>
      <c r="C662" t="inlineStr">
        <is>
          <t>Ilfotec HC</t>
        </is>
      </c>
      <c r="D662" t="inlineStr">
        <is>
          <t>1+47 (Dil.E)</t>
        </is>
      </c>
      <c r="F662" t="n">
        <v>8.5</v>
      </c>
      <c r="I662" t="n">
        <v>10.5</v>
      </c>
      <c r="J662" t="n">
        <v>13</v>
      </c>
      <c r="K662" t="n">
        <v>16</v>
      </c>
      <c r="L662" t="inlineStr">
        <is>
          <t>Ilfotec HC equiv. Dil.E · stand=25min</t>
        </is>
      </c>
    </row>
    <row r="663">
      <c r="A663" t="inlineStr">
        <is>
          <t>Ilford Delta 100</t>
        </is>
      </c>
      <c r="B663" t="n">
        <v>100</v>
      </c>
      <c r="C663" t="inlineStr">
        <is>
          <t>Ilfotec HC</t>
        </is>
      </c>
      <c r="D663" t="inlineStr">
        <is>
          <t>Dil. H (1+63)</t>
        </is>
      </c>
      <c r="F663" t="n">
        <v>10</v>
      </c>
      <c r="I663" t="n">
        <v>12.5</v>
      </c>
      <c r="J663" t="n">
        <v>15.5</v>
      </c>
      <c r="K663" t="n">
        <v>19.5</v>
      </c>
      <c r="L663" t="inlineStr">
        <is>
          <t>Ilfotec HC equiv. Dil.H · stand=25min</t>
        </is>
      </c>
    </row>
    <row r="664">
      <c r="A664" t="inlineStr">
        <is>
          <t>Fuji Neopan Acros 100 II</t>
        </is>
      </c>
      <c r="B664" t="n">
        <v>100</v>
      </c>
      <c r="C664" t="inlineStr">
        <is>
          <t>Ilfotec HC</t>
        </is>
      </c>
      <c r="D664" t="inlineStr">
        <is>
          <t>1+47 (Dil.E)</t>
        </is>
      </c>
      <c r="F664" t="n">
        <v>8</v>
      </c>
      <c r="I664" t="n">
        <v>10.5</v>
      </c>
      <c r="J664" t="n">
        <v>13.5</v>
      </c>
      <c r="K664" t="n">
        <v>17.5</v>
      </c>
      <c r="L664" t="inlineStr">
        <is>
          <t>Ilfotec HC equiv. Dil.E · stand=25min</t>
        </is>
      </c>
    </row>
    <row r="665">
      <c r="A665" t="inlineStr">
        <is>
          <t>Fuji Neopan Acros 100 II</t>
        </is>
      </c>
      <c r="B665" t="n">
        <v>100</v>
      </c>
      <c r="C665" t="inlineStr">
        <is>
          <t>Ilfotec HC</t>
        </is>
      </c>
      <c r="D665" t="inlineStr">
        <is>
          <t>Dil. H (1+63)</t>
        </is>
      </c>
      <c r="F665" t="n">
        <v>9</v>
      </c>
      <c r="I665" t="n">
        <v>11.5</v>
      </c>
      <c r="J665" t="n">
        <v>15</v>
      </c>
      <c r="K665" t="n">
        <v>19.5</v>
      </c>
      <c r="L665" t="inlineStr">
        <is>
          <t>Ilfotec HC equiv. Dil.H · stand=25min</t>
        </is>
      </c>
    </row>
    <row r="666">
      <c r="A666" t="inlineStr">
        <is>
          <t>Ilford SFX 200</t>
        </is>
      </c>
      <c r="B666" t="n">
        <v>200</v>
      </c>
      <c r="C666" t="inlineStr">
        <is>
          <t>Ilfotec HC</t>
        </is>
      </c>
      <c r="D666" t="inlineStr">
        <is>
          <t>1+47 (Dil.E)</t>
        </is>
      </c>
      <c r="F666" t="n">
        <v>12.5</v>
      </c>
      <c r="I666" t="n">
        <v>16</v>
      </c>
      <c r="J666" t="n">
        <v>21</v>
      </c>
      <c r="K666" t="n">
        <v>27.5</v>
      </c>
      <c r="L666" t="inlineStr">
        <is>
          <t>Ilfotec HC equiv. Dil.E · stand=25min</t>
        </is>
      </c>
    </row>
    <row r="667">
      <c r="A667" t="inlineStr">
        <is>
          <t>Ilford SFX 200</t>
        </is>
      </c>
      <c r="B667" t="n">
        <v>200</v>
      </c>
      <c r="C667" t="inlineStr">
        <is>
          <t>Ilfotec HC</t>
        </is>
      </c>
      <c r="D667" t="inlineStr">
        <is>
          <t>Dil. H (1+63)</t>
        </is>
      </c>
      <c r="F667" t="n">
        <v>14</v>
      </c>
      <c r="I667" t="n">
        <v>18</v>
      </c>
      <c r="J667" t="n">
        <v>23.5</v>
      </c>
      <c r="K667" t="n">
        <v>30.5</v>
      </c>
      <c r="L667" t="inlineStr">
        <is>
          <t>Ilfotec HC equiv. Dil.H · stand=25min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showGridLines="0" workbookViewId="0">
      <selection activeCell="A1" sqref="A1"/>
    </sheetView>
  </sheetViews>
  <sheetFormatPr baseColWidth="8" defaultRowHeight="15"/>
  <cols>
    <col width="2" customWidth="1" min="1" max="1"/>
    <col width="28" customWidth="1" min="2" max="2"/>
    <col width="22" customWidth="1" min="3" max="3"/>
    <col width="22" customWidth="1" min="4" max="4"/>
    <col width="18" customWidth="1" min="5" max="5"/>
    <col width="2" customWidth="1" min="6" max="6"/>
    <col width="18" customWidth="1" min="7" max="7"/>
    <col width="2" customWidth="1" min="8" max="8"/>
    <col hidden="1" width="18" customWidth="1" min="9" max="9"/>
  </cols>
  <sheetData>
    <row r="1" ht="6" customHeight="1">
      <c r="A1" s="1" t="n"/>
      <c r="B1" s="1" t="n"/>
      <c r="C1" s="1" t="n"/>
      <c r="D1" s="1" t="n"/>
      <c r="E1" s="1" t="n"/>
      <c r="F1" s="1" t="n"/>
      <c r="G1" s="1" t="n"/>
      <c r="H1" s="1" t="n"/>
      <c r="I1" s="1" t="n"/>
    </row>
    <row r="2" ht="6" customHeight="1">
      <c r="A2" s="2" t="n"/>
      <c r="B2" s="2" t="n"/>
      <c r="C2" s="2" t="n"/>
      <c r="D2" s="2" t="n"/>
      <c r="E2" s="2" t="n"/>
      <c r="F2" s="2" t="n"/>
      <c r="G2" s="2" t="n"/>
      <c r="H2" s="2" t="n"/>
      <c r="I2" s="2" t="n"/>
    </row>
    <row r="3" ht="6" customHeight="1">
      <c r="A3" s="3" t="n"/>
      <c r="B3" s="3" t="n"/>
      <c r="C3" s="3" t="n"/>
      <c r="D3" s="3" t="n"/>
      <c r="E3" s="3" t="n"/>
      <c r="F3" s="3" t="n"/>
      <c r="G3" s="3" t="n"/>
      <c r="H3" s="3" t="n"/>
      <c r="I3" s="3" t="n"/>
    </row>
    <row r="4" ht="6" customHeight="1">
      <c r="A4" s="4" t="n"/>
      <c r="B4" s="4" t="n"/>
      <c r="C4" s="4" t="n"/>
      <c r="D4" s="4" t="n"/>
      <c r="E4" s="4" t="n"/>
      <c r="F4" s="4" t="n"/>
      <c r="G4" s="4" t="n"/>
      <c r="H4" s="4" t="n"/>
      <c r="I4" s="4" t="n"/>
    </row>
    <row r="5" ht="6" customHeight="1">
      <c r="A5" s="5" t="n"/>
      <c r="B5" s="5" t="n"/>
      <c r="C5" s="5" t="n"/>
      <c r="D5" s="5" t="n"/>
      <c r="E5" s="5" t="n"/>
      <c r="F5" s="5" t="n"/>
      <c r="G5" s="5" t="n"/>
      <c r="H5" s="5" t="n"/>
      <c r="I5" s="5" t="n"/>
    </row>
    <row r="6" ht="44" customHeight="1">
      <c r="B6" s="6" t="inlineStr">
        <is>
          <t>DEV CHART  ·  Labo Los Alos  ·  2026</t>
        </is>
      </c>
    </row>
    <row r="7" ht="20" customHeight="1">
      <c r="B7" s="7" t="inlineStr">
        <is>
          <t>B&amp;W Film Development Times  ·  Seleccioná película → revelador → dilución → temperatura → agitación</t>
        </is>
      </c>
    </row>
    <row r="8" ht="3" customHeight="1">
      <c r="A8" s="4" t="n"/>
      <c r="B8" s="4" t="n"/>
      <c r="C8" s="4" t="n"/>
      <c r="D8" s="4" t="n"/>
      <c r="E8" s="4" t="n"/>
      <c r="F8" s="4" t="n"/>
      <c r="G8" s="4" t="n"/>
      <c r="H8" s="4" t="n"/>
      <c r="I8" s="4" t="n"/>
    </row>
    <row r="9" ht="8" customHeight="1"/>
    <row r="10" ht="15" customHeight="1">
      <c r="B10" s="8" t="inlineStr">
        <is>
          <t xml:space="preserve">  🎞  PELÍCULA</t>
        </is>
      </c>
      <c r="I10">
        <f>IFERROR(INDICE(_DB!$F$2:$F$667,COINCIDIR(C11&amp;"||"&amp;C14&amp;"||"&amp;C17,_DB!$A$2:$A$667&amp;"||"&amp;_DB!$C$2:$C$667&amp;"||"&amp;_DB!$D$2:$D$667,0)),"")</f>
        <v/>
      </c>
    </row>
    <row r="11" ht="24" customHeight="1">
      <c r="B11" s="9" t="n"/>
      <c r="C11" s="10" t="inlineStr">
        <is>
          <t>▼ Elegí la película...</t>
        </is>
      </c>
      <c r="D11" s="17" t="n"/>
      <c r="E11" s="17" t="n"/>
      <c r="F11" s="17" t="n"/>
      <c r="G11" s="17" t="n"/>
      <c r="H11" s="18" t="n"/>
      <c r="I11">
        <f>ELEGIR(COINCIDIR(C20,{"18°C","19°C","20°C","21°C","22°C","23°C","24°C"},0),1.2,1.1,1,0.9,0.8,0.7,0.6)</f>
        <v/>
      </c>
    </row>
    <row r="12" ht="6" customHeight="1">
      <c r="I12">
        <f>SI(I10="","",REDONDEAR(I10*I11*2,0)/2)</f>
        <v/>
      </c>
    </row>
    <row r="13" ht="15" customHeight="1">
      <c r="B13" s="8" t="inlineStr">
        <is>
          <t xml:space="preserve">  🧪  REVELADOR</t>
        </is>
      </c>
      <c r="I13">
        <f>SI(C23="Stand / Desatendido",I14b,SI(C23="Continuo — Rotary / JOBO (×0.85)",REDONDEAR(I12*0.85*2,0)/2,I12))</f>
        <v/>
      </c>
    </row>
    <row r="14" ht="24" customHeight="1">
      <c r="B14" s="9" t="n"/>
      <c r="C14" s="10" t="inlineStr">
        <is>
          <t>▼ Elegí el revelador...</t>
        </is>
      </c>
      <c r="D14" s="17" t="n"/>
      <c r="E14" s="17" t="n"/>
      <c r="F14" s="17" t="n"/>
      <c r="G14" s="17" t="n"/>
      <c r="H14" s="18" t="n"/>
      <c r="I14">
        <f>SI(C23&lt;&gt;"Stand / Desatendido","",SI(I10="","",SI(O(C14="Rodinal",C14="Adox Adonal",C14="Romek R09"),SI(C17="1+200",120,60),SI(O(C14="HC-110",C14="Ilfotec HC"),SI(O(C17="Dil. H (1+63)",C17="Dil. E (1+47)",C17="1+47 (Dil.E)"),25,REDONDEAR(I10*5*2,0)/2),SI(O(C14="XTOL",C14="D-76"),SI(C17="1+3",45,REDONDEAR(I10*5*2,0)/2),REDONDEAR(I10*5*2,0)/2)))))</f>
        <v/>
      </c>
    </row>
    <row r="15" ht="6" customHeight="1">
      <c r="I15">
        <f>SI(I10="","",SI(C23="Stand / Desatendido",I14,SI(C23="Continuo — Rotary / JOBO (×0.85)",REDONDEAR(I12*0.85*2,0)/2,I12)))</f>
        <v/>
      </c>
    </row>
    <row r="16" ht="15" customHeight="1">
      <c r="B16" s="8" t="inlineStr">
        <is>
          <t xml:space="preserve">  💧  DILUCIÓN</t>
        </is>
      </c>
      <c r="I16">
        <f>IFERROR(INDICE(_DB!$I$2:$I$667,COINCIDIR(C11&amp;"||"&amp;C14&amp;"||"&amp;C17,_DB!$A$2:$A$667&amp;"||"&amp;_DB!$C$2:$C$667&amp;"||"&amp;_DB!$D$2:$D$667,0)),"")</f>
        <v/>
      </c>
    </row>
    <row r="17" ht="24" customHeight="1">
      <c r="B17" s="9" t="n"/>
      <c r="C17" s="10" t="inlineStr">
        <is>
          <t>▼ Elegí la dilución...</t>
        </is>
      </c>
      <c r="D17" s="17" t="n"/>
      <c r="E17" s="17" t="n"/>
      <c r="F17" s="17" t="n"/>
      <c r="G17" s="17" t="n"/>
      <c r="H17" s="18" t="n"/>
      <c r="I17">
        <f>IFERROR(INDICE(_DB!$J$2:$J$667,COINCIDIR(C11&amp;"||"&amp;C14&amp;"||"&amp;C17,_DB!$A$2:$A$667&amp;"||"&amp;_DB!$C$2:$C$667&amp;"||"&amp;_DB!$D$2:$D$667,0)),"")</f>
        <v/>
      </c>
    </row>
    <row r="18" ht="6" customHeight="1">
      <c r="I18">
        <f>IFERROR(INDICE(_DB!$K$2:$K$667,COINCIDIR(C11&amp;"||"&amp;C14&amp;"||"&amp;C17,_DB!$A$2:$A$667&amp;"||"&amp;_DB!$C$2:$C$667&amp;"||"&amp;_DB!$D$2:$D$667,0)),"")</f>
        <v/>
      </c>
    </row>
    <row r="19" ht="15" customHeight="1">
      <c r="B19" s="8" t="inlineStr">
        <is>
          <t xml:space="preserve">  🌡  TEMPERATURA</t>
        </is>
      </c>
    </row>
    <row r="20" ht="24" customHeight="1">
      <c r="B20" s="9" t="n"/>
      <c r="C20" s="10" t="inlineStr">
        <is>
          <t>20°C</t>
        </is>
      </c>
      <c r="D20" s="17" t="n"/>
      <c r="E20" s="17" t="n"/>
      <c r="F20" s="17" t="n"/>
      <c r="G20" s="17" t="n"/>
      <c r="H20" s="18" t="n"/>
    </row>
    <row r="21" ht="6" customHeight="1"/>
    <row r="22" ht="15" customHeight="1">
      <c r="B22" s="8" t="inlineStr">
        <is>
          <t xml:space="preserve">  🔄  AGITACIÓN</t>
        </is>
      </c>
    </row>
    <row r="23" ht="24" customHeight="1">
      <c r="B23" s="9" t="n"/>
      <c r="C23" s="10" t="inlineStr">
        <is>
          <t>30s — Estándar (4 inv./30s)</t>
        </is>
      </c>
      <c r="D23" s="17" t="n"/>
      <c r="E23" s="17" t="n"/>
      <c r="F23" s="17" t="n"/>
      <c r="G23" s="17" t="n"/>
      <c r="H23" s="18" t="n"/>
    </row>
    <row r="24" ht="10" customHeight="1"/>
    <row r="25" ht="3" customHeight="1">
      <c r="A25" s="4" t="n"/>
      <c r="B25" s="4" t="n"/>
      <c r="C25" s="4" t="n"/>
      <c r="D25" s="4" t="n"/>
      <c r="E25" s="4" t="n"/>
      <c r="F25" s="4" t="n"/>
      <c r="G25" s="4" t="n"/>
      <c r="H25" s="4" t="n"/>
      <c r="I25" s="4" t="n"/>
    </row>
    <row r="26" ht="10" customHeight="1"/>
    <row r="27" ht="20" customHeight="1">
      <c r="B27" s="11" t="inlineStr">
        <is>
          <t>⏱  TIEMPO DE REVELADO</t>
        </is>
      </c>
    </row>
    <row r="28" ht="36" customHeight="1">
      <c r="B28" s="12">
        <f>SI(I15="","← seleccioná todos los campos",SI(I15=0,"N/D",TEXTO(ENTERO(I15),"0")&amp;":"&amp;TEXTO(REDONDEAR((I15-ENTERO(I15))*60,0),"00")&amp;" min"))</f>
        <v/>
      </c>
      <c r="C28" s="19" t="n"/>
      <c r="D28" s="19" t="n"/>
      <c r="E28" s="19" t="n"/>
      <c r="F28" s="19" t="n"/>
      <c r="G28" s="19" t="n"/>
      <c r="H28" s="20" t="n"/>
    </row>
    <row r="29" ht="36" customHeight="1">
      <c r="B29" s="21" t="n"/>
      <c r="H29" s="22" t="n"/>
    </row>
    <row r="30" ht="36" customHeight="1">
      <c r="B30" s="21" t="n"/>
      <c r="H30" s="22" t="n"/>
    </row>
    <row r="31" ht="36" customHeight="1">
      <c r="B31" s="23" t="n"/>
      <c r="C31" s="24" t="n"/>
      <c r="D31" s="24" t="n"/>
      <c r="E31" s="24" t="n"/>
      <c r="F31" s="24" t="n"/>
      <c r="G31" s="24" t="n"/>
      <c r="H31" s="25" t="n"/>
    </row>
    <row r="32" ht="8" customHeight="1"/>
    <row r="33" ht="22" customHeight="1">
      <c r="B33" s="13">
        <f>SI(I15="","","+1 Push: "&amp;=SI(I16="","—",TEXTO(ENTERO(I16),"0")&amp;":"&amp;TEXTO(REDONDEAR((I16-ENTERO(I16))*60,0),"00"))&amp;"   |   +2 Push: "&amp;=SI(I17="","—",TEXTO(ENTERO(I17),"0")&amp;":"&amp;TEXTO(REDONDEAR((I17-ENTERO(I17))*60,0),"00"))&amp;"   |   +3 Push: "&amp;=SI(I18="","—",TEXTO(ENTERO(I18),"0")&amp;":"&amp;TEXTO(REDONDEAR((I18-ENTERO(I18))*60,0),"00")))</f>
        <v/>
      </c>
    </row>
    <row r="34" ht="15" customHeight="1">
      <c r="B34" s="14">
        <f>SI(I15="","","ISO "&amp;IFERROR(INDICE(_DB!$B$2:$B$667,COINCIDIR(C11&amp;"||"&amp;C14&amp;"||"&amp;C17,_DB!$A$2:$A$667&amp;"||"&amp;_DB!$C$2:$C$667&amp;"||"&amp;_DB!$D$2:$D$667,0)),"?")&amp;"  ·  "&amp;C20&amp;"  ·  "&amp;C23)</f>
        <v/>
      </c>
    </row>
    <row r="35" ht="13" customHeight="1">
      <c r="B35" s="15">
        <f>SI(I15="","","Fuente: "&amp;IFERROR(INDICE(_DB!$L$2:$L$667,COINCIDIR(C11&amp;"||"&amp;C14&amp;"||"&amp;C17,_DB!$A$2:$A$667&amp;"||"&amp;_DB!$C$2:$C$667&amp;"||"&amp;_DB!$D$2:$D$667,0)),"—"))</f>
        <v/>
      </c>
    </row>
    <row r="36" ht="4" customHeight="1">
      <c r="A36" s="1" t="n"/>
      <c r="B36" s="1" t="n"/>
      <c r="C36" s="1" t="n"/>
      <c r="D36" s="1" t="n"/>
      <c r="E36" s="1" t="n"/>
      <c r="F36" s="1" t="n"/>
      <c r="G36" s="1" t="n"/>
      <c r="H36" s="1" t="n"/>
      <c r="I36" s="1" t="n"/>
    </row>
    <row r="37" ht="13" customHeight="1">
      <c r="B37" s="16" t="inlineStr">
        <is>
          <t>Dev Chart by Labo Los Alos 2026  ·  Fuentes: Kodak · Ilford · Foma · Rollei · Lomography · Romek Argentina</t>
        </is>
      </c>
    </row>
  </sheetData>
  <mergeCells count="18">
    <mergeCell ref="C11:H11"/>
    <mergeCell ref="B22:H22"/>
    <mergeCell ref="B27:H27"/>
    <mergeCell ref="B13:H13"/>
    <mergeCell ref="C14:H14"/>
    <mergeCell ref="B35:H35"/>
    <mergeCell ref="C17:H17"/>
    <mergeCell ref="C23:H23"/>
    <mergeCell ref="B6:H6"/>
    <mergeCell ref="B16:H16"/>
    <mergeCell ref="B10:H10"/>
    <mergeCell ref="C20:H20"/>
    <mergeCell ref="B7:H7"/>
    <mergeCell ref="B33:H33"/>
    <mergeCell ref="B19:H19"/>
    <mergeCell ref="B34:H34"/>
    <mergeCell ref="B37:H37"/>
    <mergeCell ref="B28:H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0"/>
  <sheetViews>
    <sheetView showGridLines="0" workbookViewId="0">
      <selection activeCell="A1" sqref="A1"/>
    </sheetView>
  </sheetViews>
  <sheetFormatPr baseColWidth="8" defaultRowHeight="15"/>
  <cols>
    <col width="2" customWidth="1" min="1" max="1"/>
    <col width="90" customWidth="1" min="2" max="2"/>
  </cols>
  <sheetData>
    <row r="1" ht="5" customHeight="1">
      <c r="A1" s="1" t="n"/>
      <c r="B1" s="1" t="n"/>
    </row>
    <row r="2" ht="5" customHeight="1">
      <c r="A2" s="2" t="n"/>
      <c r="B2" s="2" t="n"/>
    </row>
    <row r="3" ht="5" customHeight="1">
      <c r="A3" s="3" t="n"/>
      <c r="B3" s="3" t="n"/>
    </row>
    <row r="4" ht="5" customHeight="1">
      <c r="A4" s="4" t="n"/>
      <c r="B4" s="4" t="n"/>
    </row>
    <row r="5" ht="5" customHeight="1">
      <c r="A5" s="5" t="n"/>
      <c r="B5" s="5" t="n"/>
    </row>
    <row r="6" ht="32" customHeight="1">
      <c r="B6" s="26" t="inlineStr">
        <is>
          <t>INSTRUCCIONES PARA ACTIVAR LAS MACROS VBA — Dev Chart Labo Los Alos 2026</t>
        </is>
      </c>
    </row>
    <row r="7" ht="10" customHeight="1">
      <c r="B7" s="27" t="inlineStr"/>
    </row>
    <row r="8" ht="15" customHeight="1">
      <c r="B8" s="28" t="inlineStr">
        <is>
          <t>PASO 1 — Guardar como .xlsm (Excel habilitado para macros)</t>
        </is>
      </c>
    </row>
    <row r="9" ht="15" customHeight="1">
      <c r="B9" s="29" t="inlineStr">
        <is>
          <t xml:space="preserve">  Archivo → Guardar como → Tipo: Libro de Excel habilitado para macros (*.xlsm)</t>
        </is>
      </c>
    </row>
    <row r="10" ht="10" customHeight="1">
      <c r="B10" s="27" t="inlineStr"/>
    </row>
    <row r="11" ht="15" customHeight="1">
      <c r="B11" s="28" t="inlineStr">
        <is>
          <t>PASO 2 — Importar el archivo .bas (incluido en la descarga)</t>
        </is>
      </c>
    </row>
    <row r="12" ht="15" customHeight="1">
      <c r="B12" s="29" t="inlineStr">
        <is>
          <t xml:space="preserve">  1.  Alt + F11  para abrir el Visual Basic Editor (VBE)</t>
        </is>
      </c>
    </row>
    <row r="13" ht="15" customHeight="1">
      <c r="B13" s="29" t="inlineStr">
        <is>
          <t xml:space="preserve">  2.  En el panel izquierdo hacer clic derecho en 'ThisWorkbook'</t>
        </is>
      </c>
    </row>
    <row r="14" ht="15" customHeight="1">
      <c r="B14" s="30" t="inlineStr">
        <is>
          <t xml:space="preserve">  3.  Importar archivo... → seleccionar LaboLosAlos_DevChart_Macros.bas</t>
        </is>
      </c>
    </row>
    <row r="15" ht="15" customHeight="1">
      <c r="B15" s="29" t="inlineStr">
        <is>
          <t xml:space="preserve">  4.  Cerrar VBE → Guardar el archivo .xlsm</t>
        </is>
      </c>
    </row>
    <row r="16" ht="10" customHeight="1">
      <c r="B16" s="27" t="inlineStr"/>
    </row>
    <row r="17" ht="15" customHeight="1">
      <c r="B17" s="28" t="inlineStr">
        <is>
          <t>PASO 3 — Alternativa: pegar el código directamente en ThisWorkbook</t>
        </is>
      </c>
    </row>
    <row r="18" ht="15" customHeight="1">
      <c r="B18" s="29" t="inlineStr">
        <is>
          <t xml:space="preserve">  1.  Alt + F11 → doble clic en 'ThisWorkbook'</t>
        </is>
      </c>
    </row>
    <row r="19" ht="15" customHeight="1">
      <c r="B19" s="29" t="inlineStr">
        <is>
          <t xml:space="preserve">  2.  Borrar el contenido → pegar el código de abajo → guardar</t>
        </is>
      </c>
    </row>
    <row r="20" ht="10" customHeight="1">
      <c r="B20" s="27" t="inlineStr"/>
    </row>
    <row r="21" ht="15" customHeight="1">
      <c r="B21" s="31" t="inlineStr">
        <is>
          <t>QUE HACE LA MACRO</t>
        </is>
      </c>
    </row>
    <row r="22" ht="15" customHeight="1">
      <c r="B22" s="32" t="inlineStr">
        <is>
          <t xml:space="preserve">  Combo Pelicula filtra reveladores disponibles automaticamente</t>
        </is>
      </c>
    </row>
    <row r="23" ht="15" customHeight="1">
      <c r="B23" s="32" t="inlineStr">
        <is>
          <t xml:space="preserve">  Combo Revelador filtra diluciones disponibles automaticamente</t>
        </is>
      </c>
    </row>
    <row r="24" ht="15" customHeight="1">
      <c r="B24" s="32" t="inlineStr">
        <is>
          <t xml:space="preserve">  Al seleccionar todos los campos el resultado se calcula en tiempo real</t>
        </is>
      </c>
    </row>
    <row r="25" ht="10" customHeight="1">
      <c r="B25" s="27" t="inlineStr"/>
    </row>
    <row r="26" ht="10" customHeight="1">
      <c r="B26" s="33" t="inlineStr">
        <is>
          <t>════════════════════════════════════════════════════════════════════════════════</t>
        </is>
      </c>
    </row>
    <row r="27" ht="15" customHeight="1">
      <c r="B27" s="34" t="inlineStr">
        <is>
          <t>CODIGO VBA — copiar desde aqui:</t>
        </is>
      </c>
    </row>
    <row r="28" ht="10" customHeight="1">
      <c r="B28" s="33" t="inlineStr">
        <is>
          <t>════════════════════════════════════════════════════════════════════════════════</t>
        </is>
      </c>
    </row>
    <row r="29" ht="11" customHeight="1">
      <c r="B29" s="35" t="inlineStr"/>
    </row>
    <row r="30" ht="11" customHeight="1">
      <c r="B30" s="35" t="inlineStr">
        <is>
          <t>Option Explicit</t>
        </is>
      </c>
    </row>
    <row r="31" ht="11" customHeight="1">
      <c r="B31" s="35" t="inlineStr"/>
    </row>
    <row r="32" ht="11" customHeight="1">
      <c r="B32" s="35" t="inlineStr">
        <is>
          <t>' ═══════════════════════════════════════════════════════════════</t>
        </is>
      </c>
    </row>
    <row r="33" ht="11" customHeight="1">
      <c r="B33" s="35" t="inlineStr">
        <is>
          <t>' Dev Chart by Labo Los Alos 2026</t>
        </is>
      </c>
    </row>
    <row r="34" ht="11" customHeight="1">
      <c r="B34" s="35" t="inlineStr">
        <is>
          <t>' VBA de cascada: Película → Revelador → Dilución → Resultado</t>
        </is>
      </c>
    </row>
    <row r="35" ht="11" customHeight="1">
      <c r="B35" s="35" t="inlineStr">
        <is>
          <t>' ═══════════════════════════════════════════════════════════════</t>
        </is>
      </c>
    </row>
    <row r="36" ht="11" customHeight="1">
      <c r="B36" s="35" t="inlineStr"/>
    </row>
    <row r="37" ht="11" customHeight="1">
      <c r="B37" s="35" t="inlineStr">
        <is>
          <t>Private bUpdating As Boolean</t>
        </is>
      </c>
    </row>
    <row r="38" ht="11" customHeight="1">
      <c r="B38" s="35" t="inlineStr"/>
    </row>
    <row r="39" ht="11" customHeight="1">
      <c r="B39" s="35" t="inlineStr">
        <is>
          <t>' ─── Inicialización ──────────────────────────────────────────</t>
        </is>
      </c>
    </row>
    <row r="40" ht="11" customHeight="1">
      <c r="B40" s="35" t="inlineStr">
        <is>
          <t>Private Sub Workbook_Open()</t>
        </is>
      </c>
    </row>
    <row r="41" ht="11" customHeight="1">
      <c r="B41" s="35" t="inlineStr">
        <is>
          <t xml:space="preserve">    bUpdating = False</t>
        </is>
      </c>
    </row>
    <row r="42" ht="11" customHeight="1">
      <c r="B42" s="35" t="inlineStr">
        <is>
          <t xml:space="preserve">    PopulateFilms</t>
        </is>
      </c>
    </row>
    <row r="43" ht="11" customHeight="1">
      <c r="B43" s="35" t="inlineStr">
        <is>
          <t xml:space="preserve">    Call UpdateAll</t>
        </is>
      </c>
    </row>
    <row r="44" ht="11" customHeight="1">
      <c r="B44" s="35" t="inlineStr">
        <is>
          <t>End Sub</t>
        </is>
      </c>
    </row>
    <row r="45" ht="11" customHeight="1">
      <c r="B45" s="35" t="inlineStr"/>
    </row>
    <row r="46" ht="11" customHeight="1">
      <c r="B46" s="35" t="inlineStr">
        <is>
          <t>' ─── Llenar combo de películas al abrir ──────────────────────</t>
        </is>
      </c>
    </row>
    <row r="47" ht="11" customHeight="1">
      <c r="B47" s="35" t="inlineStr">
        <is>
          <t>Sub PopulateFilms()</t>
        </is>
      </c>
    </row>
    <row r="48" ht="11" customHeight="1">
      <c r="B48" s="35" t="inlineStr">
        <is>
          <t xml:space="preserve">    Dim ws As Worksheet</t>
        </is>
      </c>
    </row>
    <row r="49" ht="11" customHeight="1">
      <c r="B49" s="35" t="inlineStr">
        <is>
          <t xml:space="preserve">    Set ws = ThisWorkbook.Sheets("🎞 Dev Chart")</t>
        </is>
      </c>
    </row>
    <row r="50" ht="11" customHeight="1">
      <c r="B50" s="35" t="inlineStr">
        <is>
          <t xml:space="preserve">    </t>
        </is>
      </c>
    </row>
    <row r="51" ht="11" customHeight="1">
      <c r="B51" s="35" t="inlineStr">
        <is>
          <t xml:space="preserve">    Dim aFilms As Variant</t>
        </is>
      </c>
    </row>
    <row r="52" ht="11" customHeight="1">
      <c r="B52" s="35" t="inlineStr">
        <is>
          <t xml:space="preserve">    aFilms = Array("Adox CHS 100 II", "Adox Silvermax 100", "Bergger Pancro 400", "CineStill BwXX", "Ferrania P30", "Foma Retropan 320", "Fomapan 100", "Fomapan 200", "Fomapan 400", "Fuji Neopan Acros 100 II", "Ilford Delta 100", "Ilford Delta 3200", "Ilford Delta 400", "Ilford FP4 Plus", "Ilford HP5 Plus", "Ilford Kentmere 100", "Ilford Kentmere 400", "Ilford Pan F Plus", "Ilford SFX 200", "JCH Streetpan 400", "Kodak Double-X 5222", "Kodak Plus-X 125", "Kodak T-MAX 100", "Kodak T-MAX 400", "Kodak Tri-X 400", "Kosmo Foto Mono 100", "Lomo Babylon Kino 13", "Lomo Berlin Kino 400", "Lomo Earl Grey 100", "Lomo Fantome Kino 8", "Lomo Lady Grey 400", "Lomo Potsdam Kino 100", "Rollei RPX 100", "Rollei RPX 400")</t>
        </is>
      </c>
    </row>
    <row r="53" ht="11" customHeight="1">
      <c r="B53" s="35" t="inlineStr">
        <is>
          <t xml:space="preserve">    </t>
        </is>
      </c>
    </row>
    <row r="54" ht="11" customHeight="1">
      <c r="B54" s="35" t="inlineStr">
        <is>
          <t xml:space="preserve">    With ws.Range("C11").Validation</t>
        </is>
      </c>
    </row>
    <row r="55" ht="11" customHeight="1">
      <c r="B55" s="35" t="inlineStr">
        <is>
          <t xml:space="preserve">        .Delete</t>
        </is>
      </c>
    </row>
    <row r="56" ht="11" customHeight="1">
      <c r="B56" s="35" t="inlineStr">
        <is>
          <t xml:space="preserve">        .Add Type:=xlValidateList, AlertStyle:=xlValidAlertStop, _</t>
        </is>
      </c>
    </row>
    <row r="57" ht="11" customHeight="1">
      <c r="B57" s="35" t="inlineStr">
        <is>
          <t xml:space="preserve">             Formula1:=Join(aFilms, ",")</t>
        </is>
      </c>
    </row>
    <row r="58" ht="11" customHeight="1">
      <c r="B58" s="35" t="inlineStr">
        <is>
          <t xml:space="preserve">        .IgnoreBlank = True</t>
        </is>
      </c>
    </row>
    <row r="59" ht="11" customHeight="1">
      <c r="B59" s="35" t="inlineStr">
        <is>
          <t xml:space="preserve">        .InCellDropdown = True</t>
        </is>
      </c>
    </row>
    <row r="60" ht="11" customHeight="1">
      <c r="B60" s="35" t="inlineStr">
        <is>
          <t xml:space="preserve">        .ShowInput = False</t>
        </is>
      </c>
    </row>
    <row r="61" ht="11" customHeight="1">
      <c r="B61" s="35" t="inlineStr">
        <is>
          <t xml:space="preserve">        .ShowError = False</t>
        </is>
      </c>
    </row>
    <row r="62" ht="11" customHeight="1">
      <c r="B62" s="35" t="inlineStr">
        <is>
          <t xml:space="preserve">    End With</t>
        </is>
      </c>
    </row>
    <row r="63" ht="11" customHeight="1">
      <c r="B63" s="35" t="inlineStr">
        <is>
          <t>End Sub</t>
        </is>
      </c>
    </row>
    <row r="64" ht="11" customHeight="1">
      <c r="B64" s="35" t="inlineStr"/>
    </row>
    <row r="65" ht="11" customHeight="1">
      <c r="B65" s="35" t="inlineStr">
        <is>
          <t>' ─── Cuando cambia cualquier celda ───────────────────────────</t>
        </is>
      </c>
    </row>
    <row r="66" ht="11" customHeight="1">
      <c r="B66" s="35" t="inlineStr">
        <is>
          <t>Private Sub Workbook_SheetChange(ByVal Sh As Object, ByVal Target As Range)</t>
        </is>
      </c>
    </row>
    <row r="67" ht="11" customHeight="1">
      <c r="B67" s="35" t="inlineStr">
        <is>
          <t xml:space="preserve">    If bUpdating Then Exit Sub</t>
        </is>
      </c>
    </row>
    <row r="68" ht="11" customHeight="1">
      <c r="B68" s="35" t="inlineStr">
        <is>
          <t xml:space="preserve">    If Sh.Name &lt;&gt; "🎞 Dev Chart" Then Exit Sub</t>
        </is>
      </c>
    </row>
    <row r="69" ht="11" customHeight="1">
      <c r="B69" s="35" t="inlineStr">
        <is>
          <t xml:space="preserve">    </t>
        </is>
      </c>
    </row>
    <row r="70" ht="11" customHeight="1">
      <c r="B70" s="35" t="inlineStr">
        <is>
          <t xml:space="preserve">    bUpdating = True</t>
        </is>
      </c>
    </row>
    <row r="71" ht="11" customHeight="1">
      <c r="B71" s="35" t="inlineStr">
        <is>
          <t xml:space="preserve">    On Error GoTo CleanUp</t>
        </is>
      </c>
    </row>
    <row r="72" ht="11" customHeight="1">
      <c r="B72" s="35" t="inlineStr">
        <is>
          <t xml:space="preserve">    </t>
        </is>
      </c>
    </row>
    <row r="73" ht="11" customHeight="1">
      <c r="B73" s="35" t="inlineStr">
        <is>
          <t xml:space="preserve">    If Not Intersect(Target, Sh.Range("C11")) Is Nothing Then</t>
        </is>
      </c>
    </row>
    <row r="74" ht="11" customHeight="1">
      <c r="B74" s="35" t="inlineStr">
        <is>
          <t xml:space="preserve">        ' Cambió la película</t>
        </is>
      </c>
    </row>
    <row r="75" ht="11" customHeight="1">
      <c r="B75" s="35" t="inlineStr">
        <is>
          <t xml:space="preserve">        Call UpdateDevs(Sh)</t>
        </is>
      </c>
    </row>
    <row r="76" ht="11" customHeight="1">
      <c r="B76" s="35" t="inlineStr">
        <is>
          <t xml:space="preserve">        Call ClearCell(Sh, "C14")</t>
        </is>
      </c>
    </row>
    <row r="77" ht="11" customHeight="1">
      <c r="B77" s="35" t="inlineStr">
        <is>
          <t xml:space="preserve">        Call ClearCell(Sh, "C17")</t>
        </is>
      </c>
    </row>
    <row r="78" ht="11" customHeight="1">
      <c r="B78" s="35" t="inlineStr">
        <is>
          <t xml:space="preserve">    ElseIf Not Intersect(Target, Sh.Range("C14")) Is Nothing Then</t>
        </is>
      </c>
    </row>
    <row r="79" ht="11" customHeight="1">
      <c r="B79" s="35" t="inlineStr">
        <is>
          <t xml:space="preserve">        ' Cambió el revelador</t>
        </is>
      </c>
    </row>
    <row r="80" ht="11" customHeight="1">
      <c r="B80" s="35" t="inlineStr">
        <is>
          <t xml:space="preserve">        Call UpdateDils(Sh)</t>
        </is>
      </c>
    </row>
    <row r="81" ht="11" customHeight="1">
      <c r="B81" s="35" t="inlineStr">
        <is>
          <t xml:space="preserve">        Call ClearCell(Sh, "C17")</t>
        </is>
      </c>
    </row>
    <row r="82" ht="11" customHeight="1">
      <c r="B82" s="35" t="inlineStr">
        <is>
          <t xml:space="preserve">    End If</t>
        </is>
      </c>
    </row>
    <row r="83" ht="11" customHeight="1">
      <c r="B83" s="35" t="inlineStr">
        <is>
          <t xml:space="preserve">    </t>
        </is>
      </c>
    </row>
    <row r="84" ht="11" customHeight="1">
      <c r="B84" s="35" t="inlineStr">
        <is>
          <t>CleanUp:</t>
        </is>
      </c>
    </row>
    <row r="85" ht="11" customHeight="1">
      <c r="B85" s="35" t="inlineStr">
        <is>
          <t xml:space="preserve">    bUpdating = False</t>
        </is>
      </c>
    </row>
    <row r="86" ht="11" customHeight="1">
      <c r="B86" s="35" t="inlineStr">
        <is>
          <t>End Sub</t>
        </is>
      </c>
    </row>
    <row r="87" ht="11" customHeight="1">
      <c r="B87" s="35" t="inlineStr"/>
    </row>
    <row r="88" ht="11" customHeight="1">
      <c r="B88" s="35" t="inlineStr">
        <is>
          <t>' ─── Limpiar celda con placeholder ───────────────────────────</t>
        </is>
      </c>
    </row>
    <row r="89" ht="11" customHeight="1">
      <c r="B89" s="35" t="inlineStr">
        <is>
          <t>Sub ClearCell(ws As Worksheet, addr As String)</t>
        </is>
      </c>
    </row>
    <row r="90" ht="11" customHeight="1">
      <c r="B90" s="35" t="inlineStr">
        <is>
          <t xml:space="preserve">    ws.Range(addr).ClearContents</t>
        </is>
      </c>
    </row>
    <row r="91" ht="11" customHeight="1">
      <c r="B91" s="35" t="inlineStr">
        <is>
          <t>End Sub</t>
        </is>
      </c>
    </row>
    <row r="92" ht="11" customHeight="1">
      <c r="B92" s="35" t="inlineStr"/>
    </row>
    <row r="93" ht="11" customHeight="1">
      <c r="B93" s="35" t="inlineStr">
        <is>
          <t>' ─── Actualizar lista de reveladores según película ──────────</t>
        </is>
      </c>
    </row>
    <row r="94" ht="11" customHeight="1">
      <c r="B94" s="35" t="inlineStr">
        <is>
          <t>Sub UpdateDevs(ws As Worksheet)</t>
        </is>
      </c>
    </row>
    <row r="95" ht="11" customHeight="1">
      <c r="B95" s="35" t="inlineStr">
        <is>
          <t xml:space="preserve">    Dim sFilm As String</t>
        </is>
      </c>
    </row>
    <row r="96" ht="11" customHeight="1">
      <c r="B96" s="35" t="inlineStr">
        <is>
          <t xml:space="preserve">    sFilm = ws.Range("C11").Value</t>
        </is>
      </c>
    </row>
    <row r="97" ht="11" customHeight="1">
      <c r="B97" s="35" t="inlineStr">
        <is>
          <t xml:space="preserve">    If sFilm = "" Then Exit Sub</t>
        </is>
      </c>
    </row>
    <row r="98" ht="11" customHeight="1">
      <c r="B98" s="35" t="inlineStr">
        <is>
          <t xml:space="preserve">    </t>
        </is>
      </c>
    </row>
    <row r="99" ht="11" customHeight="1">
      <c r="B99" s="35" t="inlineStr">
        <is>
          <t xml:space="preserve">    Dim aDevs As Variant</t>
        </is>
      </c>
    </row>
    <row r="100" ht="11" customHeight="1">
      <c r="B100" s="35" t="inlineStr">
        <is>
          <t xml:space="preserve">    </t>
        </is>
      </c>
    </row>
    <row r="101" ht="11" customHeight="1">
      <c r="B101" s="35" t="inlineStr">
        <is>
          <t xml:space="preserve">    Select Case sFilm</t>
        </is>
      </c>
    </row>
    <row r="102" ht="11" customHeight="1">
      <c r="B102" s="35" t="inlineStr">
        <is>
          <t xml:space="preserve">        Case "Adox CHS 100 II": aDevs = Array("Adox Adonal", "D-76", "HC-110", "ID-11", "Ilfosol 3", "Ilfotec DD-X", "Microphen", "Perceptol", "Rodinal", "Romek PQ7", "Romek R09", "XTOL")</t>
        </is>
      </c>
    </row>
    <row r="103" ht="11" customHeight="1">
      <c r="B103" s="35" t="inlineStr">
        <is>
          <t xml:space="preserve">        Case "Adox Silvermax 100": aDevs = Array("Adox Silvermax Dev", "D-76", "Rodinal", "Romek PQ7", "Romek R09")</t>
        </is>
      </c>
    </row>
    <row r="104" ht="11" customHeight="1">
      <c r="B104" s="35" t="inlineStr">
        <is>
          <t xml:space="preserve">        Case "Bergger Pancro 400": aDevs = Array("D-76", "HC-110", "ID-11", "Ilfosol 3", "Ilfotec DD-X", "Microphen", "Perceptol", "Rodinal", "Romek PQ6", "Romek PQ7", "Romek PQ9", "Romek R09", "XTOL")</t>
        </is>
      </c>
    </row>
    <row r="105" ht="11" customHeight="1">
      <c r="B105" s="35" t="inlineStr">
        <is>
          <t xml:space="preserve">        Case "CineStill BwXX": aDevs = Array("D-76", "HC-110", "Rodinal", "Romek R09")</t>
        </is>
      </c>
    </row>
    <row r="106" ht="11" customHeight="1">
      <c r="B106" s="35" t="inlineStr">
        <is>
          <t xml:space="preserve">        Case "Ferrania P30": aDevs = Array("D-76", "HC-110", "Rodinal", "Romek R09")</t>
        </is>
      </c>
    </row>
    <row r="107" ht="11" customHeight="1">
      <c r="B107" s="35" t="inlineStr">
        <is>
          <t xml:space="preserve">        Case "Foma Retropan 320": aDevs = Array("D-76", "Foma Retro Special Dev", "HC-110", "Ilfotec LC29", "Microphen", "Rodinal", "Romek R09")</t>
        </is>
      </c>
    </row>
    <row r="108" ht="11" customHeight="1">
      <c r="B108" s="35" t="inlineStr">
        <is>
          <t xml:space="preserve">        Case "Fomapan 100": aDevs = Array("D-76", "HC-110", "ID-11", "Ilfosol 3", "Ilfotec DD-X", "Ilfotec HC", "Rodinal", "Romek PQ7", "Romek R09", "XTOL")</t>
        </is>
      </c>
    </row>
    <row r="109" ht="11" customHeight="1">
      <c r="B109" s="35" t="inlineStr">
        <is>
          <t xml:space="preserve">        Case "Fomapan 200": aDevs = Array("D-76", "HC-110", "Rodinal", "Romek PQ7", "Romek R09")</t>
        </is>
      </c>
    </row>
    <row r="110" ht="11" customHeight="1">
      <c r="B110" s="35" t="inlineStr">
        <is>
          <t xml:space="preserve">        Case "Fomapan 400": aDevs = Array("D-76", "HC-110", "ID-11", "Ilfosol 3", "Ilfotec DD-X", "Ilfotec HC", "Rodinal", "Romek PQ6", "Romek PQ7", "Romek PQ9", "Romek R09", "XTOL")</t>
        </is>
      </c>
    </row>
    <row r="111" ht="11" customHeight="1">
      <c r="B111" s="35" t="inlineStr">
        <is>
          <t xml:space="preserve">        Case "Fuji Neopan Acros 100 II": aDevs = Array("D-76", "HC-110", "ID-11", "Ilfosol 3", "Ilfotec DD-X", "Ilfotec HC", "Microphen", "Perceptol", "Rodinal", "Romek PQ7", "Romek R09", "XTOL")</t>
        </is>
      </c>
    </row>
    <row r="112" ht="11" customHeight="1">
      <c r="B112" s="35" t="inlineStr">
        <is>
          <t xml:space="preserve">        Case "Ilford Delta 100": aDevs = Array("D-76", "HC-110", "ID-11", "Ilfosol 3", "Ilfotec DD-X", "Ilfotec HC", "Ilfotec LC29", "Microdol-X", "Microphen", "Perceptol", "Rodinal", "Romek PQ7", "Romek R09", "T-MAX Dev", "T-MAX RS", "XTOL")</t>
        </is>
      </c>
    </row>
    <row r="113" ht="11" customHeight="1">
      <c r="B113" s="35" t="inlineStr">
        <is>
          <t xml:space="preserve">        Case "Ilford Delta 3200": aDevs = Array("D-76", "HC-110", "ID-11", "Ilfosol 3", "Ilfotec DD-X", "Microdol-X", "Microphen", "Romek PQ7", "T-MAX Dev")</t>
        </is>
      </c>
    </row>
    <row r="114" ht="11" customHeight="1">
      <c r="B114" s="35" t="inlineStr">
        <is>
          <t xml:space="preserve">        Case "Ilford Delta 400": aDevs = Array("D-76", "HC-110", "ID-11", "Ilfosol 3", "Ilfotec DD-X", "Ilfotec HC", "Ilfotec LC29", "Microdol-X", "Microphen", "Perceptol", "Rodinal", "Romek PQ6", "Romek PQ7", "Romek PQ9", "Romek R09", "T-MAX Dev", "T-MAX RS", "XTOL")</t>
        </is>
      </c>
    </row>
    <row r="115" ht="11" customHeight="1">
      <c r="B115" s="35" t="inlineStr">
        <is>
          <t xml:space="preserve">        Case "Ilford FP4 Plus": aDevs = Array("D-76", "HC-110", "ID-11", "Ilfosol 3", "Ilfotec DD-X", "Ilfotec HC", "Ilfotec LC29", "Microdol-X", "Microphen", "Perceptol", "Rodinal", "Romek R09", "T-MAX Dev", "T-MAX RS", "XTOL")</t>
        </is>
      </c>
    </row>
    <row r="116" ht="11" customHeight="1">
      <c r="B116" s="35" t="inlineStr">
        <is>
          <t xml:space="preserve">        Case "Ilford HP5 Plus": aDevs = Array("D-76", "HC-110", "ID-11", "Ilfosol 3", "Ilfotec DD-X", "Ilfotec HC", "Ilfotec LC29", "Microdol-X", "Microphen", "Perceptol", "Rodinal", "Romek PQ6", "Romek PQ7", "Romek PQ9", "Romek R09", "T-MAX Dev", "T-MAX RS", "XTOL")</t>
        </is>
      </c>
    </row>
    <row r="117" ht="11" customHeight="1">
      <c r="B117" s="35" t="inlineStr">
        <is>
          <t xml:space="preserve">        Case "Ilford Kentmere 100": aDevs = Array("D-76", "ID-11", "Ilfosol 3", "Ilfotec DD-X", "Ilfotec HC", "Ilfotec LC29", "Microphen", "Perceptol", "Rodinal", "Romek PQ7", "Romek R09")</t>
        </is>
      </c>
    </row>
    <row r="118" ht="11" customHeight="1">
      <c r="B118" s="35" t="inlineStr">
        <is>
          <t xml:space="preserve">        Case "Ilford Kentmere 400": aDevs = Array("D-76", "ID-11", "Ilfosol 3", "Ilfotec DD-X", "Ilfotec HC", "Ilfotec LC29", "Microphen", "Perceptol", "Rodinal", "Romek PQ6", "Romek PQ7", "Romek PQ9", "Romek R09")</t>
        </is>
      </c>
    </row>
    <row r="119" ht="11" customHeight="1">
      <c r="B119" s="35" t="inlineStr">
        <is>
          <t xml:space="preserve">        Case "Ilford Pan F Plus": aDevs = Array("D-76", "HC-110", "ID-11", "Ilfosol 3", "Ilfotec DD-X", "Microdol-X", "Microphen", "Perceptol", "Rodinal", "Romek R09", "T-MAX Dev", "T-MAX RS", "XTOL")</t>
        </is>
      </c>
    </row>
    <row r="120" ht="11" customHeight="1">
      <c r="B120" s="35" t="inlineStr">
        <is>
          <t xml:space="preserve">        Case "Ilford SFX 200": aDevs = Array("D-76", "HC-110", "ID-11", "Ilfosol 3", "Ilfotec DD-X", "Ilfotec HC", "Ilfotec LC29", "Microphen", "Perceptol", "Rodinal", "Romek PQ7", "Romek R09", "T-MAX Dev")</t>
        </is>
      </c>
    </row>
    <row r="121" ht="11" customHeight="1">
      <c r="B121" s="35" t="inlineStr">
        <is>
          <t xml:space="preserve">        Case "JCH Streetpan 400": aDevs = Array("D-76", "HC-110", "ID-11", "Ilfosol 3", "Perceptol", "Rodinal", "Romek PQ6", "Romek PQ7", "Romek PQ9", "Romek R09", "T-MAX Dev", "XTOL")</t>
        </is>
      </c>
    </row>
    <row r="122" ht="11" customHeight="1">
      <c r="B122" s="35" t="inlineStr">
        <is>
          <t xml:space="preserve">        Case "Kodak Double-X 5222": aDevs = Array("D-76", "D-96", "HC-110", "ID-11", "Ilfosol 3", "Microphen", "Rodinal", "Romek R09", "XTOL")</t>
        </is>
      </c>
    </row>
    <row r="123" ht="11" customHeight="1">
      <c r="B123" s="35" t="inlineStr">
        <is>
          <t xml:space="preserve">        Case "Kodak Plus-X 125": aDevs = Array("D-76", "HC-110", "Microdol-X", "T-MAX Dev", "T-MAX RS", "XTOL")</t>
        </is>
      </c>
    </row>
    <row r="124" ht="11" customHeight="1">
      <c r="B124" s="35" t="inlineStr">
        <is>
          <t xml:space="preserve">        Case "Kodak T-MAX 100": aDevs = Array("D-76", "HC-110", "ID-11", "Ilfotec HC", "Microdol-X", "Rodinal", "Romek PQ7", "T-MAX RS", "XTOL")</t>
        </is>
      </c>
    </row>
    <row r="125" ht="11" customHeight="1">
      <c r="B125" s="35" t="inlineStr">
        <is>
          <t xml:space="preserve">        Case "Kodak T-MAX 400": aDevs = Array("D-76", "HC-110", "ID-11", "Ilfotec HC", "Microdol-X", "Rodinal", "Romek PQ6", "Romek PQ7", "Romek PQ9", "T-MAX RS", "XTOL")</t>
        </is>
      </c>
    </row>
    <row r="126" ht="11" customHeight="1">
      <c r="B126" s="35" t="inlineStr">
        <is>
          <t xml:space="preserve">        Case "Kodak Tri-X 400": aDevs = Array("D-76", "HC-110", "ID-11", "Ilfotec HC", "Microdol-X", "Rodinal", "Romek PQ6", "Romek PQ7", "Romek PQ9", "T-MAX RS", "XTOL")</t>
        </is>
      </c>
    </row>
    <row r="127" ht="11" customHeight="1">
      <c r="B127" s="35" t="inlineStr">
        <is>
          <t xml:space="preserve">        Case "Kosmo Foto Mono 100": aDevs = Array("D-76", "ID-11", "Ilfotec DD-X", "Microphen", "Perceptol", "Rodinal", "Romek PQ7", "Romek R09", "T-MAX Dev", "XTOL")</t>
        </is>
      </c>
    </row>
    <row r="128" ht="11" customHeight="1">
      <c r="B128" s="35" t="inlineStr">
        <is>
          <t xml:space="preserve">        Case "Lomo Babylon Kino 13": aDevs = Array("D-76", "HC-110", "Ilfotec HC")</t>
        </is>
      </c>
    </row>
    <row r="129" ht="11" customHeight="1">
      <c r="B129" s="35" t="inlineStr">
        <is>
          <t xml:space="preserve">        Case "Lomo Berlin Kino 400": aDevs = Array("D-76", "HC-110", "Ilfosol 3", "Rodinal", "Romek PQ6", "Romek PQ7", "Romek PQ9", "Romek R09", "XTOL")</t>
        </is>
      </c>
    </row>
    <row r="130" ht="11" customHeight="1">
      <c r="B130" s="35" t="inlineStr">
        <is>
          <t xml:space="preserve">        Case "Lomo Earl Grey 100": aDevs = Array("D-76", "HC-110", "Ilfosol 3", "Rodinal", "Romek PQ7", "Romek R09")</t>
        </is>
      </c>
    </row>
    <row r="131" ht="11" customHeight="1">
      <c r="B131" s="35" t="inlineStr">
        <is>
          <t xml:space="preserve">        Case "Lomo Fantome Kino 8": aDevs = Array("D-96", "HC-110", "Ilfosol 3", "Ilfotec HC", "Rodinal", "Romek R09")</t>
        </is>
      </c>
    </row>
    <row r="132" ht="11" customHeight="1">
      <c r="B132" s="35" t="inlineStr">
        <is>
          <t xml:space="preserve">        Case "Lomo Lady Grey 400": aDevs = Array("D-23", "D-76", "HC-110", "Microphen", "Rodinal", "Romek PQ6", "Romek PQ7", "Romek PQ9", "Romek R09", "T-MAX Dev", "T-MAX RS", "XTOL")</t>
        </is>
      </c>
    </row>
    <row r="133" ht="11" customHeight="1">
      <c r="B133" s="35" t="inlineStr">
        <is>
          <t xml:space="preserve">        Case "Lomo Potsdam Kino 100": aDevs = Array("D-76", "HC-110", "Ilfosol 3", "Rodinal", "Romek PQ7", "Romek R09", "T-MAX Dev")</t>
        </is>
      </c>
    </row>
    <row r="134" ht="11" customHeight="1">
      <c r="B134" s="35" t="inlineStr">
        <is>
          <t xml:space="preserve">        Case "Rollei RPX 100": aDevs = Array("D-76", "ID-11", "Ilfosol 3", "Ilfotec DD-X", "Ilfotec LC29", "Microphen", "Perceptol", "Rodinal", "Romek PQ7", "Romek R09", "XTOL")</t>
        </is>
      </c>
    </row>
    <row r="135" ht="11" customHeight="1">
      <c r="B135" s="35" t="inlineStr">
        <is>
          <t xml:space="preserve">        Case "Rollei RPX 400": aDevs = Array("D-76", "HC-110", "ID-11", "Ilfosol 3", "Ilfotec DD-X", "Ilfotec LC29", "Microphen", "Perceptol", "Rodinal", "Romek PQ6", "Romek PQ7", "Romek PQ9", "Romek R09", "XTOL")</t>
        </is>
      </c>
    </row>
    <row r="136" ht="11" customHeight="1">
      <c r="B136" s="35" t="inlineStr">
        <is>
          <t xml:space="preserve">        Case Else: aDevs = Array("")</t>
        </is>
      </c>
    </row>
    <row r="137" ht="11" customHeight="1">
      <c r="B137" s="35" t="inlineStr">
        <is>
          <t xml:space="preserve">    End Select</t>
        </is>
      </c>
    </row>
    <row r="138" ht="11" customHeight="1">
      <c r="B138" s="35" t="inlineStr">
        <is>
          <t xml:space="preserve">    </t>
        </is>
      </c>
    </row>
    <row r="139" ht="11" customHeight="1">
      <c r="B139" s="35" t="inlineStr">
        <is>
          <t xml:space="preserve">    With ws.Range("C14").Validation</t>
        </is>
      </c>
    </row>
    <row r="140" ht="11" customHeight="1">
      <c r="B140" s="35" t="inlineStr">
        <is>
          <t xml:space="preserve">        .Delete</t>
        </is>
      </c>
    </row>
    <row r="141" ht="11" customHeight="1">
      <c r="B141" s="35" t="inlineStr">
        <is>
          <t xml:space="preserve">        .Add Type:=xlValidateList, AlertStyle:=xlValidAlertStop, _</t>
        </is>
      </c>
    </row>
    <row r="142" ht="11" customHeight="1">
      <c r="B142" s="35" t="inlineStr">
        <is>
          <t xml:space="preserve">             Formula1:=Join(aDevs, ",")</t>
        </is>
      </c>
    </row>
    <row r="143" ht="11" customHeight="1">
      <c r="B143" s="35" t="inlineStr">
        <is>
          <t xml:space="preserve">        .IgnoreBlank = True</t>
        </is>
      </c>
    </row>
    <row r="144" ht="11" customHeight="1">
      <c r="B144" s="35" t="inlineStr">
        <is>
          <t xml:space="preserve">        .InCellDropdown = True</t>
        </is>
      </c>
    </row>
    <row r="145" ht="11" customHeight="1">
      <c r="B145" s="35" t="inlineStr">
        <is>
          <t xml:space="preserve">        .ShowInput = False</t>
        </is>
      </c>
    </row>
    <row r="146" ht="11" customHeight="1">
      <c r="B146" s="35" t="inlineStr">
        <is>
          <t xml:space="preserve">        .ShowError = False</t>
        </is>
      </c>
    </row>
    <row r="147" ht="11" customHeight="1">
      <c r="B147" s="35" t="inlineStr">
        <is>
          <t xml:space="preserve">    End With</t>
        </is>
      </c>
    </row>
    <row r="148" ht="11" customHeight="1">
      <c r="B148" s="35" t="inlineStr">
        <is>
          <t xml:space="preserve">    </t>
        </is>
      </c>
    </row>
    <row r="149" ht="11" customHeight="1">
      <c r="B149" s="35" t="inlineStr">
        <is>
          <t xml:space="preserve">    ' Auto-seleccionar si hay un solo revelador</t>
        </is>
      </c>
    </row>
    <row r="150" ht="11" customHeight="1">
      <c r="B150" s="35" t="inlineStr">
        <is>
          <t xml:space="preserve">    If UBound(aDevs) = 0 Then</t>
        </is>
      </c>
    </row>
    <row r="151" ht="11" customHeight="1">
      <c r="B151" s="35" t="inlineStr">
        <is>
          <t xml:space="preserve">        ws.Range("C14").Value = aDevs(0)</t>
        </is>
      </c>
    </row>
    <row r="152" ht="11" customHeight="1">
      <c r="B152" s="35" t="inlineStr">
        <is>
          <t xml:space="preserve">        Call UpdateDils(ws)</t>
        </is>
      </c>
    </row>
    <row r="153" ht="11" customHeight="1">
      <c r="B153" s="35" t="inlineStr">
        <is>
          <t xml:space="preserve">    End If</t>
        </is>
      </c>
    </row>
    <row r="154" ht="11" customHeight="1">
      <c r="B154" s="35" t="inlineStr">
        <is>
          <t>End Sub</t>
        </is>
      </c>
    </row>
    <row r="155" ht="11" customHeight="1">
      <c r="B155" s="35" t="inlineStr"/>
    </row>
    <row r="156" ht="11" customHeight="1">
      <c r="B156" s="35" t="inlineStr">
        <is>
          <t>' ─── Actualizar lista de diluciones según película+revelador ─</t>
        </is>
      </c>
    </row>
    <row r="157" ht="11" customHeight="1">
      <c r="B157" s="35" t="inlineStr">
        <is>
          <t>Sub UpdateDils(ws As Worksheet)</t>
        </is>
      </c>
    </row>
    <row r="158" ht="11" customHeight="1">
      <c r="B158" s="35" t="inlineStr">
        <is>
          <t xml:space="preserve">    Dim sFilm As String, sDev As String, sKey As String</t>
        </is>
      </c>
    </row>
    <row r="159" ht="11" customHeight="1">
      <c r="B159" s="35" t="inlineStr">
        <is>
          <t xml:space="preserve">    sFilm = ws.Range("C11").Value</t>
        </is>
      </c>
    </row>
    <row r="160" ht="11" customHeight="1">
      <c r="B160" s="35" t="inlineStr">
        <is>
          <t xml:space="preserve">    sDev  = ws.Range("C14").Value</t>
        </is>
      </c>
    </row>
    <row r="161" ht="11" customHeight="1">
      <c r="B161" s="35" t="inlineStr">
        <is>
          <t xml:space="preserve">    If sFilm = "" Or sDev = "" Then Exit Sub</t>
        </is>
      </c>
    </row>
    <row r="162" ht="11" customHeight="1">
      <c r="B162" s="35" t="inlineStr">
        <is>
          <t xml:space="preserve">    sKey = sFilm &amp; "||" &amp; sDev</t>
        </is>
      </c>
    </row>
    <row r="163" ht="11" customHeight="1">
      <c r="B163" s="35" t="inlineStr">
        <is>
          <t xml:space="preserve">    </t>
        </is>
      </c>
    </row>
    <row r="164" ht="11" customHeight="1">
      <c r="B164" s="35" t="inlineStr">
        <is>
          <t xml:space="preserve">    Dim aDils As Variant</t>
        </is>
      </c>
    </row>
    <row r="165" ht="11" customHeight="1">
      <c r="B165" s="35" t="inlineStr">
        <is>
          <t xml:space="preserve">    </t>
        </is>
      </c>
    </row>
    <row r="166" ht="11" customHeight="1">
      <c r="B166" s="35" t="inlineStr">
        <is>
          <t xml:space="preserve">    Select Case sKey</t>
        </is>
      </c>
    </row>
    <row r="167" ht="11" customHeight="1">
      <c r="B167" s="35" t="inlineStr">
        <is>
          <t xml:space="preserve">        Case "Adox CHS 100 II||Adox Adonal": aDils = Array("1+25", "1+50", "1+100", "1+200")</t>
        </is>
      </c>
    </row>
    <row r="168" ht="11" customHeight="1">
      <c r="B168" s="35" t="inlineStr">
        <is>
          <t xml:space="preserve">        Case "Adox CHS 100 II||D-76": aDils = Array("Stock")</t>
        </is>
      </c>
    </row>
    <row r="169" ht="11" customHeight="1">
      <c r="B169" s="35" t="inlineStr">
        <is>
          <t xml:space="preserve">        Case "Adox CHS 100 II||HC-110": aDils = Array("Dil. B (1+31)", "Dil. H (1+63)", "Dil. E (1+47)")</t>
        </is>
      </c>
    </row>
    <row r="170" ht="11" customHeight="1">
      <c r="B170" s="35" t="inlineStr">
        <is>
          <t xml:space="preserve">        Case "Adox CHS 100 II||ID-11": aDils = Array("Stock")</t>
        </is>
      </c>
    </row>
    <row r="171" ht="11" customHeight="1">
      <c r="B171" s="35" t="inlineStr">
        <is>
          <t xml:space="preserve">        Case "Adox CHS 100 II||Ilfosol 3": aDils = Array("1+9")</t>
        </is>
      </c>
    </row>
    <row r="172" ht="11" customHeight="1">
      <c r="B172" s="35" t="inlineStr">
        <is>
          <t xml:space="preserve">        Case "Adox CHS 100 II||Ilfotec DD-X": aDils = Array("1+4")</t>
        </is>
      </c>
    </row>
    <row r="173" ht="11" customHeight="1">
      <c r="B173" s="35" t="inlineStr">
        <is>
          <t xml:space="preserve">        Case "Adox CHS 100 II||Microphen": aDils = Array("Stock")</t>
        </is>
      </c>
    </row>
    <row r="174" ht="11" customHeight="1">
      <c r="B174" s="35" t="inlineStr">
        <is>
          <t xml:space="preserve">        Case "Adox CHS 100 II||Perceptol": aDils = Array("Stock")</t>
        </is>
      </c>
    </row>
    <row r="175" ht="11" customHeight="1">
      <c r="B175" s="35" t="inlineStr">
        <is>
          <t xml:space="preserve">        Case "Adox CHS 100 II||Rodinal": aDils = Array("1+25", "1+50", "1+100", "1+200")</t>
        </is>
      </c>
    </row>
    <row r="176" ht="11" customHeight="1">
      <c r="B176" s="35" t="inlineStr">
        <is>
          <t xml:space="preserve">        Case "Adox CHS 100 II||Romek PQ7": aDils = Array("(verificar con Romek)")</t>
        </is>
      </c>
    </row>
    <row r="177" ht="11" customHeight="1">
      <c r="B177" s="35" t="inlineStr">
        <is>
          <t xml:space="preserve">        Case "Adox CHS 100 II||Romek R09": aDils = Array("1+25", "1+50", "1+100", "1+200")</t>
        </is>
      </c>
    </row>
    <row r="178" ht="11" customHeight="1">
      <c r="B178" s="35" t="inlineStr">
        <is>
          <t xml:space="preserve">        Case "Adox CHS 100 II||XTOL": aDils = Array("Stock")</t>
        </is>
      </c>
    </row>
    <row r="179" ht="11" customHeight="1">
      <c r="B179" s="35" t="inlineStr">
        <is>
          <t xml:space="preserve">        Case "Adox Silvermax 100||Adox Silvermax Dev": aDils = Array("1+29")</t>
        </is>
      </c>
    </row>
    <row r="180" ht="11" customHeight="1">
      <c r="B180" s="35" t="inlineStr">
        <is>
          <t xml:space="preserve">        Case "Adox Silvermax 100||D-76": aDils = Array("Stock")</t>
        </is>
      </c>
    </row>
    <row r="181" ht="11" customHeight="1">
      <c r="B181" s="35" t="inlineStr">
        <is>
          <t xml:space="preserve">        Case "Adox Silvermax 100||Rodinal": aDils = Array("1+50", "1+100", "1+200")</t>
        </is>
      </c>
    </row>
    <row r="182" ht="11" customHeight="1">
      <c r="B182" s="35" t="inlineStr">
        <is>
          <t xml:space="preserve">        Case "Adox Silvermax 100||Romek PQ7": aDils = Array("(verificar con Romek)")</t>
        </is>
      </c>
    </row>
    <row r="183" ht="11" customHeight="1">
      <c r="B183" s="35" t="inlineStr">
        <is>
          <t xml:space="preserve">        Case "Adox Silvermax 100||Romek R09": aDils = Array("1+50", "1+100", "1+200")</t>
        </is>
      </c>
    </row>
    <row r="184" ht="11" customHeight="1">
      <c r="B184" s="35" t="inlineStr">
        <is>
          <t xml:space="preserve">        Case "Bergger Pancro 400||D-76": aDils = Array("Stock", "1+1")</t>
        </is>
      </c>
    </row>
    <row r="185" ht="11" customHeight="1">
      <c r="B185" s="35" t="inlineStr">
        <is>
          <t xml:space="preserve">        Case "Bergger Pancro 400||HC-110": aDils = Array("Dil. B (1+31)", "Dil. H (1+63)", "Dil. E (1+47)")</t>
        </is>
      </c>
    </row>
    <row r="186" ht="11" customHeight="1">
      <c r="B186" s="35" t="inlineStr">
        <is>
          <t xml:space="preserve">        Case "Bergger Pancro 400||ID-11": aDils = Array("Stock", "1+1")</t>
        </is>
      </c>
    </row>
    <row r="187" ht="11" customHeight="1">
      <c r="B187" s="35" t="inlineStr">
        <is>
          <t xml:space="preserve">        Case "Bergger Pancro 400||Ilfosol 3": aDils = Array("1+9")</t>
        </is>
      </c>
    </row>
    <row r="188" ht="11" customHeight="1">
      <c r="B188" s="35" t="inlineStr">
        <is>
          <t xml:space="preserve">        Case "Bergger Pancro 400||Ilfotec DD-X": aDils = Array("1+4")</t>
        </is>
      </c>
    </row>
    <row r="189" ht="11" customHeight="1">
      <c r="B189" s="35" t="inlineStr">
        <is>
          <t xml:space="preserve">        Case "Bergger Pancro 400||Microphen": aDils = Array("Stock", "1+1")</t>
        </is>
      </c>
    </row>
    <row r="190" ht="11" customHeight="1">
      <c r="B190" s="35" t="inlineStr">
        <is>
          <t xml:space="preserve">        Case "Bergger Pancro 400||Perceptol": aDils = Array("1+1")</t>
        </is>
      </c>
    </row>
    <row r="191" ht="11" customHeight="1">
      <c r="B191" s="35" t="inlineStr">
        <is>
          <t xml:space="preserve">        Case "Bergger Pancro 400||Rodinal": aDils = Array("1+25", "1+50", "1+100", "1+200")</t>
        </is>
      </c>
    </row>
    <row r="192" ht="11" customHeight="1">
      <c r="B192" s="35" t="inlineStr">
        <is>
          <t xml:space="preserve">        Case "Bergger Pancro 400||Romek PQ6": aDils = Array("1+3 (verificar)")</t>
        </is>
      </c>
    </row>
    <row r="193" ht="11" customHeight="1">
      <c r="B193" s="35" t="inlineStr">
        <is>
          <t xml:space="preserve">        Case "Bergger Pancro 400||Romek PQ7": aDils = Array("(verificar con Romek)")</t>
        </is>
      </c>
    </row>
    <row r="194" ht="11" customHeight="1">
      <c r="B194" s="35" t="inlineStr">
        <is>
          <t xml:space="preserve">        Case "Bergger Pancro 400||Romek PQ9": aDils = Array("1+3 ó 1+6 (verificar)")</t>
        </is>
      </c>
    </row>
    <row r="195" ht="11" customHeight="1">
      <c r="B195" s="35" t="inlineStr">
        <is>
          <t xml:space="preserve">        Case "Bergger Pancro 400||Romek R09": aDils = Array("1+25", "1+50", "1+100", "1+200")</t>
        </is>
      </c>
    </row>
    <row r="196" ht="11" customHeight="1">
      <c r="B196" s="35" t="inlineStr">
        <is>
          <t xml:space="preserve">        Case "Bergger Pancro 400||XTOL": aDils = Array("Stock", "1+1")</t>
        </is>
      </c>
    </row>
    <row r="197" ht="11" customHeight="1">
      <c r="B197" s="35" t="inlineStr">
        <is>
          <t xml:space="preserve">        Case "CineStill BwXX||D-76": aDils = Array("Stock")</t>
        </is>
      </c>
    </row>
    <row r="198" ht="11" customHeight="1">
      <c r="B198" s="35" t="inlineStr">
        <is>
          <t xml:space="preserve">        Case "CineStill BwXX||HC-110": aDils = Array("Dil. B (1+31)", "Dil. H (1+63)", "Dil. E (1+47)")</t>
        </is>
      </c>
    </row>
    <row r="199" ht="11" customHeight="1">
      <c r="B199" s="35" t="inlineStr">
        <is>
          <t xml:space="preserve">        Case "CineStill BwXX||Rodinal": aDils = Array("1+25")</t>
        </is>
      </c>
    </row>
    <row r="200" ht="11" customHeight="1">
      <c r="B200" s="35" t="inlineStr">
        <is>
          <t xml:space="preserve">        Case "CineStill BwXX||Romek R09": aDils = Array("1+25")</t>
        </is>
      </c>
    </row>
    <row r="201" ht="11" customHeight="1">
      <c r="B201" s="35" t="inlineStr">
        <is>
          <t xml:space="preserve">        Case "Ferrania P30||D-76": aDils = Array("Stock")</t>
        </is>
      </c>
    </row>
    <row r="202" ht="11" customHeight="1">
      <c r="B202" s="35" t="inlineStr">
        <is>
          <t xml:space="preserve">        Case "Ferrania P30||HC-110": aDils = Array("Dil. B (1+31)", "Dil. H (1+63)", "Dil. E (1+47)")</t>
        </is>
      </c>
    </row>
    <row r="203" ht="11" customHeight="1">
      <c r="B203" s="35" t="inlineStr">
        <is>
          <t xml:space="preserve">        Case "Ferrania P30||Rodinal": aDils = Array("1+50", "1+100", "1+200")</t>
        </is>
      </c>
    </row>
    <row r="204" ht="11" customHeight="1">
      <c r="B204" s="35" t="inlineStr">
        <is>
          <t xml:space="preserve">        Case "Ferrania P30||Romek R09": aDils = Array("1+50", "1+100", "1+200")</t>
        </is>
      </c>
    </row>
    <row r="205" ht="11" customHeight="1">
      <c r="B205" s="35" t="inlineStr">
        <is>
          <t xml:space="preserve">        Case "Foma Retropan 320||D-76": aDils = Array("Stock")</t>
        </is>
      </c>
    </row>
    <row r="206" ht="11" customHeight="1">
      <c r="B206" s="35" t="inlineStr">
        <is>
          <t xml:space="preserve">        Case "Foma Retropan 320||Foma Retro Special Dev": aDils = Array("Stock")</t>
        </is>
      </c>
    </row>
    <row r="207" ht="11" customHeight="1">
      <c r="B207" s="35" t="inlineStr">
        <is>
          <t xml:space="preserve">        Case "Foma Retropan 320||HC-110": aDils = Array("Dil. B (1+31)", "Dil. H (1+63)", "Dil. E (1+47)")</t>
        </is>
      </c>
    </row>
    <row r="208" ht="11" customHeight="1">
      <c r="B208" s="35" t="inlineStr">
        <is>
          <t xml:space="preserve">        Case "Foma Retropan 320||Ilfotec LC29": aDils = Array("1+29")</t>
        </is>
      </c>
    </row>
    <row r="209" ht="11" customHeight="1">
      <c r="B209" s="35" t="inlineStr">
        <is>
          <t xml:space="preserve">        Case "Foma Retropan 320||Microphen": aDils = Array("Stock")</t>
        </is>
      </c>
    </row>
    <row r="210" ht="11" customHeight="1">
      <c r="B210" s="35" t="inlineStr">
        <is>
          <t xml:space="preserve">        Case "Foma Retropan 320||Rodinal": aDils = Array("1+25", "1+50", "1+100", "1+200")</t>
        </is>
      </c>
    </row>
    <row r="211" ht="11" customHeight="1">
      <c r="B211" s="35" t="inlineStr">
        <is>
          <t xml:space="preserve">        Case "Foma Retropan 320||Romek R09": aDils = Array("1+25", "1+50", "1+100", "1+200")</t>
        </is>
      </c>
    </row>
    <row r="212" ht="11" customHeight="1">
      <c r="B212" s="35" t="inlineStr">
        <is>
          <t xml:space="preserve">        Case "Fomapan 100||D-76": aDils = Array("Stock", "1+1")</t>
        </is>
      </c>
    </row>
    <row r="213" ht="11" customHeight="1">
      <c r="B213" s="35" t="inlineStr">
        <is>
          <t xml:space="preserve">        Case "Fomapan 100||HC-110": aDils = Array("Dil. B (1+31)", "Dil. H (1+63)", "Dil. E (1+47)")</t>
        </is>
      </c>
    </row>
    <row r="214" ht="11" customHeight="1">
      <c r="B214" s="35" t="inlineStr">
        <is>
          <t xml:space="preserve">        Case "Fomapan 100||ID-11": aDils = Array("Stock", "1+1")</t>
        </is>
      </c>
    </row>
    <row r="215" ht="11" customHeight="1">
      <c r="B215" s="35" t="inlineStr">
        <is>
          <t xml:space="preserve">        Case "Fomapan 100||Ilfosol 3": aDils = Array("1+9")</t>
        </is>
      </c>
    </row>
    <row r="216" ht="11" customHeight="1">
      <c r="B216" s="35" t="inlineStr">
        <is>
          <t xml:space="preserve">        Case "Fomapan 100||Ilfotec DD-X": aDils = Array("1+4")</t>
        </is>
      </c>
    </row>
    <row r="217" ht="11" customHeight="1">
      <c r="B217" s="35" t="inlineStr">
        <is>
          <t xml:space="preserve">        Case "Fomapan 100||Ilfotec HC": aDils = Array("1+31 (Dil.B)", "1+47 (Dil.E)", "Dil. H (1+63)")</t>
        </is>
      </c>
    </row>
    <row r="218" ht="11" customHeight="1">
      <c r="B218" s="35" t="inlineStr">
        <is>
          <t xml:space="preserve">        Case "Fomapan 100||Rodinal": aDils = Array("1+25", "1+50", "1+100", "1+200")</t>
        </is>
      </c>
    </row>
    <row r="219" ht="11" customHeight="1">
      <c r="B219" s="35" t="inlineStr">
        <is>
          <t xml:space="preserve">        Case "Fomapan 100||Romek PQ7": aDils = Array("(verificar con Romek)")</t>
        </is>
      </c>
    </row>
    <row r="220" ht="11" customHeight="1">
      <c r="B220" s="35" t="inlineStr">
        <is>
          <t xml:space="preserve">        Case "Fomapan 100||Romek R09": aDils = Array("1+25", "1+50", "1+100", "1+200")</t>
        </is>
      </c>
    </row>
    <row r="221" ht="11" customHeight="1">
      <c r="B221" s="35" t="inlineStr">
        <is>
          <t xml:space="preserve">        Case "Fomapan 100||XTOL": aDils = Array("Stock")</t>
        </is>
      </c>
    </row>
    <row r="222" ht="11" customHeight="1">
      <c r="B222" s="35" t="inlineStr">
        <is>
          <t xml:space="preserve">        Case "Fomapan 200||D-76": aDils = Array("Stock")</t>
        </is>
      </c>
    </row>
    <row r="223" ht="11" customHeight="1">
      <c r="B223" s="35" t="inlineStr">
        <is>
          <t xml:space="preserve">        Case "Fomapan 200||HC-110": aDils = Array("Dil. B (1+31)", "Dil. H (1+63)", "Dil. E (1+47)")</t>
        </is>
      </c>
    </row>
    <row r="224" ht="11" customHeight="1">
      <c r="B224" s="35" t="inlineStr">
        <is>
          <t xml:space="preserve">        Case "Fomapan 200||Rodinal": aDils = Array("1+50", "1+100", "1+200")</t>
        </is>
      </c>
    </row>
    <row r="225" ht="11" customHeight="1">
      <c r="B225" s="35" t="inlineStr">
        <is>
          <t xml:space="preserve">        Case "Fomapan 200||Romek PQ7": aDils = Array("(verificar con Romek)")</t>
        </is>
      </c>
    </row>
    <row r="226" ht="11" customHeight="1">
      <c r="B226" s="35" t="inlineStr">
        <is>
          <t xml:space="preserve">        Case "Fomapan 200||Romek R09": aDils = Array("1+50", "1+100", "1+200")</t>
        </is>
      </c>
    </row>
    <row r="227" ht="11" customHeight="1">
      <c r="B227" s="35" t="inlineStr">
        <is>
          <t xml:space="preserve">        Case "Fomapan 400||D-76": aDils = Array("Stock", "1+1")</t>
        </is>
      </c>
    </row>
    <row r="228" ht="11" customHeight="1">
      <c r="B228" s="35" t="inlineStr">
        <is>
          <t xml:space="preserve">        Case "Fomapan 400||HC-110": aDils = Array("Dil. B (1+31)", "Dil. H (1+63)", "Dil. E (1+47)")</t>
        </is>
      </c>
    </row>
    <row r="229" ht="11" customHeight="1">
      <c r="B229" s="35" t="inlineStr">
        <is>
          <t xml:space="preserve">        Case "Fomapan 400||ID-11": aDils = Array("Stock", "1+1")</t>
        </is>
      </c>
    </row>
    <row r="230" ht="11" customHeight="1">
      <c r="B230" s="35" t="inlineStr">
        <is>
          <t xml:space="preserve">        Case "Fomapan 400||Ilfosol 3": aDils = Array("1+9")</t>
        </is>
      </c>
    </row>
    <row r="231" ht="11" customHeight="1">
      <c r="B231" s="35" t="inlineStr">
        <is>
          <t xml:space="preserve">        Case "Fomapan 400||Ilfotec DD-X": aDils = Array("1+4")</t>
        </is>
      </c>
    </row>
    <row r="232" ht="11" customHeight="1">
      <c r="B232" s="35" t="inlineStr">
        <is>
          <t xml:space="preserve">        Case "Fomapan 400||Ilfotec HC": aDils = Array("1+31 (Dil.B)", "1+47 (Dil.E)", "Dil. H (1+63)")</t>
        </is>
      </c>
    </row>
    <row r="233" ht="11" customHeight="1">
      <c r="B233" s="35" t="inlineStr">
        <is>
          <t xml:space="preserve">        Case "Fomapan 400||Rodinal": aDils = Array("1+25", "1+50", "1+100", "1+200")</t>
        </is>
      </c>
    </row>
    <row r="234" ht="11" customHeight="1">
      <c r="B234" s="35" t="inlineStr">
        <is>
          <t xml:space="preserve">        Case "Fomapan 400||Romek PQ6": aDils = Array("1+3 (verificar)")</t>
        </is>
      </c>
    </row>
    <row r="235" ht="11" customHeight="1">
      <c r="B235" s="35" t="inlineStr">
        <is>
          <t xml:space="preserve">        Case "Fomapan 400||Romek PQ7": aDils = Array("(verificar con Romek)")</t>
        </is>
      </c>
    </row>
    <row r="236" ht="11" customHeight="1">
      <c r="B236" s="35" t="inlineStr">
        <is>
          <t xml:space="preserve">        Case "Fomapan 400||Romek PQ9": aDils = Array("1+3 ó 1+6 (verificar)")</t>
        </is>
      </c>
    </row>
    <row r="237" ht="11" customHeight="1">
      <c r="B237" s="35" t="inlineStr">
        <is>
          <t xml:space="preserve">        Case "Fomapan 400||Romek R09": aDils = Array("1+25", "1+50", "1+100", "1+200")</t>
        </is>
      </c>
    </row>
    <row r="238" ht="11" customHeight="1">
      <c r="B238" s="35" t="inlineStr">
        <is>
          <t xml:space="preserve">        Case "Fomapan 400||XTOL": aDils = Array("Stock")</t>
        </is>
      </c>
    </row>
    <row r="239" ht="11" customHeight="1">
      <c r="B239" s="35" t="inlineStr">
        <is>
          <t xml:space="preserve">        Case "Fuji Neopan Acros 100 II||D-76": aDils = Array("Stock", "1+1")</t>
        </is>
      </c>
    </row>
    <row r="240" ht="11" customHeight="1">
      <c r="B240" s="35" t="inlineStr">
        <is>
          <t xml:space="preserve">        Case "Fuji Neopan Acros 100 II||HC-110": aDils = Array("Dil. B (1+31)", "Dil. H (1+63)", "Dil. E (1+47)")</t>
        </is>
      </c>
    </row>
    <row r="241" ht="11" customHeight="1">
      <c r="B241" s="35" t="inlineStr">
        <is>
          <t xml:space="preserve">        Case "Fuji Neopan Acros 100 II||ID-11": aDils = Array("Stock")</t>
        </is>
      </c>
    </row>
    <row r="242" ht="11" customHeight="1">
      <c r="B242" s="35" t="inlineStr">
        <is>
          <t xml:space="preserve">        Case "Fuji Neopan Acros 100 II||Ilfosol 3": aDils = Array("1+9")</t>
        </is>
      </c>
    </row>
    <row r="243" ht="11" customHeight="1">
      <c r="B243" s="35" t="inlineStr">
        <is>
          <t xml:space="preserve">        Case "Fuji Neopan Acros 100 II||Ilfotec DD-X": aDils = Array("1+4")</t>
        </is>
      </c>
    </row>
    <row r="244" ht="11" customHeight="1">
      <c r="B244" s="35" t="inlineStr">
        <is>
          <t xml:space="preserve">        Case "Fuji Neopan Acros 100 II||Ilfotec HC": aDils = Array("1+31 (Dil.B)", "1+47 (Dil.E)", "Dil. H (1+63)")</t>
        </is>
      </c>
    </row>
    <row r="245" ht="11" customHeight="1">
      <c r="B245" s="35" t="inlineStr">
        <is>
          <t xml:space="preserve">        Case "Fuji Neopan Acros 100 II||Microphen": aDils = Array("Stock")</t>
        </is>
      </c>
    </row>
    <row r="246" ht="11" customHeight="1">
      <c r="B246" s="35" t="inlineStr">
        <is>
          <t xml:space="preserve">        Case "Fuji Neopan Acros 100 II||Perceptol": aDils = Array("Stock")</t>
        </is>
      </c>
    </row>
    <row r="247" ht="11" customHeight="1">
      <c r="B247" s="35" t="inlineStr">
        <is>
          <t xml:space="preserve">        Case "Fuji Neopan Acros 100 II||Rodinal": aDils = Array("1+50", "1+100", "1+200")</t>
        </is>
      </c>
    </row>
    <row r="248" ht="11" customHeight="1">
      <c r="B248" s="35" t="inlineStr">
        <is>
          <t xml:space="preserve">        Case "Fuji Neopan Acros 100 II||Romek PQ7": aDils = Array("(verificar con Romek)")</t>
        </is>
      </c>
    </row>
    <row r="249" ht="11" customHeight="1">
      <c r="B249" s="35" t="inlineStr">
        <is>
          <t xml:space="preserve">        Case "Fuji Neopan Acros 100 II||Romek R09": aDils = Array("1+50", "1+100", "1+200")</t>
        </is>
      </c>
    </row>
    <row r="250" ht="11" customHeight="1">
      <c r="B250" s="35" t="inlineStr">
        <is>
          <t xml:space="preserve">        Case "Fuji Neopan Acros 100 II||XTOL": aDils = Array("Stock")</t>
        </is>
      </c>
    </row>
    <row r="251" ht="11" customHeight="1">
      <c r="B251" s="35" t="inlineStr">
        <is>
          <t xml:space="preserve">        Case "Ilford Delta 100||D-76": aDils = Array("Stock", "1+1")</t>
        </is>
      </c>
    </row>
    <row r="252" ht="11" customHeight="1">
      <c r="B252" s="35" t="inlineStr">
        <is>
          <t xml:space="preserve">        Case "Ilford Delta 100||HC-110": aDils = Array("Dil. B (1+31)", "Dil. A (1+15)", "Dil. H (1+63)", "Dil. E (1+47)")</t>
        </is>
      </c>
    </row>
    <row r="253" ht="11" customHeight="1">
      <c r="B253" s="35" t="inlineStr">
        <is>
          <t xml:space="preserve">        Case "Ilford Delta 100||ID-11": aDils = Array("Stock", "1+1")</t>
        </is>
      </c>
    </row>
    <row r="254" ht="11" customHeight="1">
      <c r="B254" s="35" t="inlineStr">
        <is>
          <t xml:space="preserve">        Case "Ilford Delta 100||Ilfosol 3": aDils = Array("1+9")</t>
        </is>
      </c>
    </row>
    <row r="255" ht="11" customHeight="1">
      <c r="B255" s="35" t="inlineStr">
        <is>
          <t xml:space="preserve">        Case "Ilford Delta 100||Ilfotec DD-X": aDils = Array("1+4")</t>
        </is>
      </c>
    </row>
    <row r="256" ht="11" customHeight="1">
      <c r="B256" s="35" t="inlineStr">
        <is>
          <t xml:space="preserve">        Case "Ilford Delta 100||Ilfotec HC": aDils = Array("1+31 (Dil.B)", "1+47 (Dil.E)", "Dil. H (1+63)")</t>
        </is>
      </c>
    </row>
    <row r="257" ht="11" customHeight="1">
      <c r="B257" s="35" t="inlineStr">
        <is>
          <t xml:space="preserve">        Case "Ilford Delta 100||Ilfotec LC29": aDils = Array("1+19")</t>
        </is>
      </c>
    </row>
    <row r="258" ht="11" customHeight="1">
      <c r="B258" s="35" t="inlineStr">
        <is>
          <t xml:space="preserve">        Case "Ilford Delta 100||Microdol-X": aDils = Array("Stock", "1+3")</t>
        </is>
      </c>
    </row>
    <row r="259" ht="11" customHeight="1">
      <c r="B259" s="35" t="inlineStr">
        <is>
          <t xml:space="preserve">        Case "Ilford Delta 100||Microphen": aDils = Array("Stock")</t>
        </is>
      </c>
    </row>
    <row r="260" ht="11" customHeight="1">
      <c r="B260" s="35" t="inlineStr">
        <is>
          <t xml:space="preserve">        Case "Ilford Delta 100||Perceptol": aDils = Array("Stock", "1+1")</t>
        </is>
      </c>
    </row>
    <row r="261" ht="11" customHeight="1">
      <c r="B261" s="35" t="inlineStr">
        <is>
          <t xml:space="preserve">        Case "Ilford Delta 100||Rodinal": aDils = Array("1+25", "1+50", "1+100", "1+200")</t>
        </is>
      </c>
    </row>
    <row r="262" ht="11" customHeight="1">
      <c r="B262" s="35" t="inlineStr">
        <is>
          <t xml:space="preserve">        Case "Ilford Delta 100||Romek PQ7": aDils = Array("(verificar con Romek)")</t>
        </is>
      </c>
    </row>
    <row r="263" ht="11" customHeight="1">
      <c r="B263" s="35" t="inlineStr">
        <is>
          <t xml:space="preserve">        Case "Ilford Delta 100||Romek R09": aDils = Array("1+25", "1+50", "1+100", "1+200")</t>
        </is>
      </c>
    </row>
    <row r="264" ht="11" customHeight="1">
      <c r="B264" s="35" t="inlineStr">
        <is>
          <t xml:space="preserve">        Case "Ilford Delta 100||T-MAX Dev": aDils = Array("1+4")</t>
        </is>
      </c>
    </row>
    <row r="265" ht="11" customHeight="1">
      <c r="B265" s="35" t="inlineStr">
        <is>
          <t xml:space="preserve">        Case "Ilford Delta 100||T-MAX RS": aDils = Array("1+4")</t>
        </is>
      </c>
    </row>
    <row r="266" ht="11" customHeight="1">
      <c r="B266" s="35" t="inlineStr">
        <is>
          <t xml:space="preserve">        Case "Ilford Delta 100||XTOL": aDils = Array("Stock")</t>
        </is>
      </c>
    </row>
    <row r="267" ht="11" customHeight="1">
      <c r="B267" s="35" t="inlineStr">
        <is>
          <t xml:space="preserve">        Case "Ilford Delta 3200||D-76": aDils = Array("Stock")</t>
        </is>
      </c>
    </row>
    <row r="268" ht="11" customHeight="1">
      <c r="B268" s="35" t="inlineStr">
        <is>
          <t xml:space="preserve">        Case "Ilford Delta 3200||HC-110": aDils = Array("Dil. B (1+31)", "Dil. H (1+63)", "Dil. E (1+47)")</t>
        </is>
      </c>
    </row>
    <row r="269" ht="11" customHeight="1">
      <c r="B269" s="35" t="inlineStr">
        <is>
          <t xml:space="preserve">        Case "Ilford Delta 3200||ID-11": aDils = Array("Stock")</t>
        </is>
      </c>
    </row>
    <row r="270" ht="11" customHeight="1">
      <c r="B270" s="35" t="inlineStr">
        <is>
          <t xml:space="preserve">        Case "Ilford Delta 3200||Ilfosol 3": aDils = Array("1+9")</t>
        </is>
      </c>
    </row>
    <row r="271" ht="11" customHeight="1">
      <c r="B271" s="35" t="inlineStr">
        <is>
          <t xml:space="preserve">        Case "Ilford Delta 3200||Ilfotec DD-X": aDils = Array("1+4")</t>
        </is>
      </c>
    </row>
    <row r="272" ht="11" customHeight="1">
      <c r="B272" s="35" t="inlineStr">
        <is>
          <t xml:space="preserve">        Case "Ilford Delta 3200||Microdol-X": aDils = Array("Stock")</t>
        </is>
      </c>
    </row>
    <row r="273" ht="11" customHeight="1">
      <c r="B273" s="35" t="inlineStr">
        <is>
          <t xml:space="preserve">        Case "Ilford Delta 3200||Microphen": aDils = Array("Stock", "1+1")</t>
        </is>
      </c>
    </row>
    <row r="274" ht="11" customHeight="1">
      <c r="B274" s="35" t="inlineStr">
        <is>
          <t xml:space="preserve">        Case "Ilford Delta 3200||Romek PQ7": aDils = Array("(verificar con Romek)")</t>
        </is>
      </c>
    </row>
    <row r="275" ht="11" customHeight="1">
      <c r="B275" s="35" t="inlineStr">
        <is>
          <t xml:space="preserve">        Case "Ilford Delta 3200||T-MAX Dev": aDils = Array("1+4")</t>
        </is>
      </c>
    </row>
    <row r="276" ht="11" customHeight="1">
      <c r="B276" s="35" t="inlineStr">
        <is>
          <t xml:space="preserve">        Case "Ilford Delta 400||D-76": aDils = Array("Stock", "1+1")</t>
        </is>
      </c>
    </row>
    <row r="277" ht="11" customHeight="1">
      <c r="B277" s="35" t="inlineStr">
        <is>
          <t xml:space="preserve">        Case "Ilford Delta 400||HC-110": aDils = Array("Dil. B (1+31)", "Dil. A (1+15)", "Dil. H (1+63)", "Dil. E (1+47)")</t>
        </is>
      </c>
    </row>
    <row r="278" ht="11" customHeight="1">
      <c r="B278" s="35" t="inlineStr">
        <is>
          <t xml:space="preserve">        Case "Ilford Delta 400||ID-11": aDils = Array("Stock", "1+1")</t>
        </is>
      </c>
    </row>
    <row r="279" ht="11" customHeight="1">
      <c r="B279" s="35" t="inlineStr">
        <is>
          <t xml:space="preserve">        Case "Ilford Delta 400||Ilfosol 3": aDils = Array("1+9")</t>
        </is>
      </c>
    </row>
    <row r="280" ht="11" customHeight="1">
      <c r="B280" s="35" t="inlineStr">
        <is>
          <t xml:space="preserve">        Case "Ilford Delta 400||Ilfotec DD-X": aDils = Array("1+4")</t>
        </is>
      </c>
    </row>
    <row r="281" ht="11" customHeight="1">
      <c r="B281" s="35" t="inlineStr">
        <is>
          <t xml:space="preserve">        Case "Ilford Delta 400||Ilfotec HC": aDils = Array("1+31 (Dil.B)", "1+47 (Dil.E)", "Dil. H (1+63)")</t>
        </is>
      </c>
    </row>
    <row r="282" ht="11" customHeight="1">
      <c r="B282" s="35" t="inlineStr">
        <is>
          <t xml:space="preserve">        Case "Ilford Delta 400||Ilfotec LC29": aDils = Array("1+9", "1+19")</t>
        </is>
      </c>
    </row>
    <row r="283" ht="11" customHeight="1">
      <c r="B283" s="35" t="inlineStr">
        <is>
          <t xml:space="preserve">        Case "Ilford Delta 400||Microdol-X": aDils = Array("Stock")</t>
        </is>
      </c>
    </row>
    <row r="284" ht="11" customHeight="1">
      <c r="B284" s="35" t="inlineStr">
        <is>
          <t xml:space="preserve">        Case "Ilford Delta 400||Microphen": aDils = Array("Stock")</t>
        </is>
      </c>
    </row>
    <row r="285" ht="11" customHeight="1">
      <c r="B285" s="35" t="inlineStr">
        <is>
          <t xml:space="preserve">        Case "Ilford Delta 400||Perceptol": aDils = Array("Stock", "1+1")</t>
        </is>
      </c>
    </row>
    <row r="286" ht="11" customHeight="1">
      <c r="B286" s="35" t="inlineStr">
        <is>
          <t xml:space="preserve">        Case "Ilford Delta 400||Rodinal": aDils = Array("1+25")</t>
        </is>
      </c>
    </row>
    <row r="287" ht="11" customHeight="1">
      <c r="B287" s="35" t="inlineStr">
        <is>
          <t xml:space="preserve">        Case "Ilford Delta 400||Romek PQ6": aDils = Array("1+3 (verificar)")</t>
        </is>
      </c>
    </row>
    <row r="288" ht="11" customHeight="1">
      <c r="B288" s="35" t="inlineStr">
        <is>
          <t xml:space="preserve">        Case "Ilford Delta 400||Romek PQ7": aDils = Array("(verificar con Romek)")</t>
        </is>
      </c>
    </row>
    <row r="289" ht="11" customHeight="1">
      <c r="B289" s="35" t="inlineStr">
        <is>
          <t xml:space="preserve">        Case "Ilford Delta 400||Romek PQ9": aDils = Array("1+3 ó 1+6 (verificar)")</t>
        </is>
      </c>
    </row>
    <row r="290" ht="11" customHeight="1">
      <c r="B290" s="35" t="inlineStr">
        <is>
          <t xml:space="preserve">        Case "Ilford Delta 400||Romek R09": aDils = Array("1+25")</t>
        </is>
      </c>
    </row>
    <row r="291" ht="11" customHeight="1">
      <c r="B291" s="35" t="inlineStr">
        <is>
          <t xml:space="preserve">        Case "Ilford Delta 400||T-MAX Dev": aDils = Array("1+4")</t>
        </is>
      </c>
    </row>
    <row r="292" ht="11" customHeight="1">
      <c r="B292" s="35" t="inlineStr">
        <is>
          <t xml:space="preserve">        Case "Ilford Delta 400||T-MAX RS": aDils = Array("1+4")</t>
        </is>
      </c>
    </row>
    <row r="293" ht="11" customHeight="1">
      <c r="B293" s="35" t="inlineStr">
        <is>
          <t xml:space="preserve">        Case "Ilford Delta 400||XTOL": aDils = Array("Stock")</t>
        </is>
      </c>
    </row>
    <row r="294" ht="11" customHeight="1">
      <c r="B294" s="35" t="inlineStr">
        <is>
          <t xml:space="preserve">        Case "Ilford FP4 Plus||D-76": aDils = Array("Stock")</t>
        </is>
      </c>
    </row>
    <row r="295" ht="11" customHeight="1">
      <c r="B295" s="35" t="inlineStr">
        <is>
          <t xml:space="preserve">        Case "Ilford FP4 Plus||HC-110": aDils = Array("Dil. B (1+31)", "Dil. A (1+15)", "Dil. H (1+63)", "Dil. E (1+47)")</t>
        </is>
      </c>
    </row>
    <row r="296" ht="11" customHeight="1">
      <c r="B296" s="35" t="inlineStr">
        <is>
          <t xml:space="preserve">        Case "Ilford FP4 Plus||ID-11": aDils = Array("Stock", "1+1", "1+3")</t>
        </is>
      </c>
    </row>
    <row r="297" ht="11" customHeight="1">
      <c r="B297" s="35" t="inlineStr">
        <is>
          <t xml:space="preserve">        Case "Ilford FP4 Plus||Ilfosol 3": aDils = Array("1+9")</t>
        </is>
      </c>
    </row>
    <row r="298" ht="11" customHeight="1">
      <c r="B298" s="35" t="inlineStr">
        <is>
          <t xml:space="preserve">        Case "Ilford FP4 Plus||Ilfotec DD-X": aDils = Array("1+4")</t>
        </is>
      </c>
    </row>
    <row r="299" ht="11" customHeight="1">
      <c r="B299" s="35" t="inlineStr">
        <is>
          <t xml:space="preserve">        Case "Ilford FP4 Plus||Ilfotec HC": aDils = Array("1+15 (Dil.A)", "1+31 (Dil.B)", "1+47 (Dil.E)", "Dil. H (1+63)")</t>
        </is>
      </c>
    </row>
    <row r="300" ht="11" customHeight="1">
      <c r="B300" s="35" t="inlineStr">
        <is>
          <t xml:space="preserve">        Case "Ilford FP4 Plus||Ilfotec LC29": aDils = Array("1+19")</t>
        </is>
      </c>
    </row>
    <row r="301" ht="11" customHeight="1">
      <c r="B301" s="35" t="inlineStr">
        <is>
          <t xml:space="preserve">        Case "Ilford FP4 Plus||Microdol-X": aDils = Array("Stock", "1+3")</t>
        </is>
      </c>
    </row>
    <row r="302" ht="11" customHeight="1">
      <c r="B302" s="35" t="inlineStr">
        <is>
          <t xml:space="preserve">        Case "Ilford FP4 Plus||Microphen": aDils = Array("Stock", "1+1")</t>
        </is>
      </c>
    </row>
    <row r="303" ht="11" customHeight="1">
      <c r="B303" s="35" t="inlineStr">
        <is>
          <t xml:space="preserve">        Case "Ilford FP4 Plus||Perceptol": aDils = Array("Stock", "1+1")</t>
        </is>
      </c>
    </row>
    <row r="304" ht="11" customHeight="1">
      <c r="B304" s="35" t="inlineStr">
        <is>
          <t xml:space="preserve">        Case "Ilford FP4 Plus||Rodinal": aDils = Array("1+25", "1+50", "1+100", "1+200")</t>
        </is>
      </c>
    </row>
    <row r="305" ht="11" customHeight="1">
      <c r="B305" s="35" t="inlineStr">
        <is>
          <t xml:space="preserve">        Case "Ilford FP4 Plus||Romek R09": aDils = Array("1+25", "1+50", "1+100", "1+200")</t>
        </is>
      </c>
    </row>
    <row r="306" ht="11" customHeight="1">
      <c r="B306" s="35" t="inlineStr">
        <is>
          <t xml:space="preserve">        Case "Ilford FP4 Plus||T-MAX Dev": aDils = Array("1+4")</t>
        </is>
      </c>
    </row>
    <row r="307" ht="11" customHeight="1">
      <c r="B307" s="35" t="inlineStr">
        <is>
          <t xml:space="preserve">        Case "Ilford FP4 Plus||T-MAX RS": aDils = Array("1+4")</t>
        </is>
      </c>
    </row>
    <row r="308" ht="11" customHeight="1">
      <c r="B308" s="35" t="inlineStr">
        <is>
          <t xml:space="preserve">        Case "Ilford FP4 Plus||XTOL": aDils = Array("Stock", "1+1")</t>
        </is>
      </c>
    </row>
    <row r="309" ht="11" customHeight="1">
      <c r="B309" s="35" t="inlineStr">
        <is>
          <t xml:space="preserve">        Case "Ilford HP5 Plus||D-76": aDils = Array("Stock", "1+1", "1+3")</t>
        </is>
      </c>
    </row>
    <row r="310" ht="11" customHeight="1">
      <c r="B310" s="35" t="inlineStr">
        <is>
          <t xml:space="preserve">        Case "Ilford HP5 Plus||HC-110": aDils = Array("Dil. B (1+31)", "Dil. A (1+15)", "Dil. H (1+63)", "Dil. E (1+47)")</t>
        </is>
      </c>
    </row>
    <row r="311" ht="11" customHeight="1">
      <c r="B311" s="35" t="inlineStr">
        <is>
          <t xml:space="preserve">        Case "Ilford HP5 Plus||ID-11": aDils = Array("Stock", "1+1", "1+3")</t>
        </is>
      </c>
    </row>
    <row r="312" ht="11" customHeight="1">
      <c r="B312" s="35" t="inlineStr">
        <is>
          <t xml:space="preserve">        Case "Ilford HP5 Plus||Ilfosol 3": aDils = Array("1+9", "1+14")</t>
        </is>
      </c>
    </row>
    <row r="313" ht="11" customHeight="1">
      <c r="B313" s="35" t="inlineStr">
        <is>
          <t xml:space="preserve">        Case "Ilford HP5 Plus||Ilfotec DD-X": aDils = Array("1+4")</t>
        </is>
      </c>
    </row>
    <row r="314" ht="11" customHeight="1">
      <c r="B314" s="35" t="inlineStr">
        <is>
          <t xml:space="preserve">        Case "Ilford HP5 Plus||Ilfotec HC": aDils = Array("1+15 (Dil.A)", "1+31 (Dil.B)", "1+47 (Dil.E)", "Dil. H (1+63)")</t>
        </is>
      </c>
    </row>
    <row r="315" ht="11" customHeight="1">
      <c r="B315" s="35" t="inlineStr">
        <is>
          <t xml:space="preserve">        Case "Ilford HP5 Plus||Ilfotec LC29": aDils = Array("1+19", "1+29")</t>
        </is>
      </c>
    </row>
    <row r="316" ht="11" customHeight="1">
      <c r="B316" s="35" t="inlineStr">
        <is>
          <t xml:space="preserve">        Case "Ilford HP5 Plus||Microdol-X": aDils = Array("Stock")</t>
        </is>
      </c>
    </row>
    <row r="317" ht="11" customHeight="1">
      <c r="B317" s="35" t="inlineStr">
        <is>
          <t xml:space="preserve">        Case "Ilford HP5 Plus||Microphen": aDils = Array("Stock", "1+1")</t>
        </is>
      </c>
    </row>
    <row r="318" ht="11" customHeight="1">
      <c r="B318" s="35" t="inlineStr">
        <is>
          <t xml:space="preserve">        Case "Ilford HP5 Plus||Perceptol": aDils = Array("Stock", "1+1")</t>
        </is>
      </c>
    </row>
    <row r="319" ht="11" customHeight="1">
      <c r="B319" s="35" t="inlineStr">
        <is>
          <t xml:space="preserve">        Case "Ilford HP5 Plus||Rodinal": aDils = Array("1+25", "1+50", "1+100", "1+200")</t>
        </is>
      </c>
    </row>
    <row r="320" ht="11" customHeight="1">
      <c r="B320" s="35" t="inlineStr">
        <is>
          <t xml:space="preserve">        Case "Ilford HP5 Plus||Romek PQ6": aDils = Array("1+3 (verificar)")</t>
        </is>
      </c>
    </row>
    <row r="321" ht="11" customHeight="1">
      <c r="B321" s="35" t="inlineStr">
        <is>
          <t xml:space="preserve">        Case "Ilford HP5 Plus||Romek PQ7": aDils = Array("(verificar con Romek)")</t>
        </is>
      </c>
    </row>
    <row r="322" ht="11" customHeight="1">
      <c r="B322" s="35" t="inlineStr">
        <is>
          <t xml:space="preserve">        Case "Ilford HP5 Plus||Romek PQ9": aDils = Array("1+3 ó 1+6 (verificar)")</t>
        </is>
      </c>
    </row>
    <row r="323" ht="11" customHeight="1">
      <c r="B323" s="35" t="inlineStr">
        <is>
          <t xml:space="preserve">        Case "Ilford HP5 Plus||Romek R09": aDils = Array("1+25", "1+50", "1+100", "1+200")</t>
        </is>
      </c>
    </row>
    <row r="324" ht="11" customHeight="1">
      <c r="B324" s="35" t="inlineStr">
        <is>
          <t xml:space="preserve">        Case "Ilford HP5 Plus||T-MAX Dev": aDils = Array("1+4")</t>
        </is>
      </c>
    </row>
    <row r="325" ht="11" customHeight="1">
      <c r="B325" s="35" t="inlineStr">
        <is>
          <t xml:space="preserve">        Case "Ilford HP5 Plus||T-MAX RS": aDils = Array("1+4")</t>
        </is>
      </c>
    </row>
    <row r="326" ht="11" customHeight="1">
      <c r="B326" s="35" t="inlineStr">
        <is>
          <t xml:space="preserve">        Case "Ilford HP5 Plus||XTOL": aDils = Array("Stock", "1+1")</t>
        </is>
      </c>
    </row>
    <row r="327" ht="11" customHeight="1">
      <c r="B327" s="35" t="inlineStr">
        <is>
          <t xml:space="preserve">        Case "Ilford Kentmere 100||D-76": aDils = Array("1+1", "1+3")</t>
        </is>
      </c>
    </row>
    <row r="328" ht="11" customHeight="1">
      <c r="B328" s="35" t="inlineStr">
        <is>
          <t xml:space="preserve">        Case "Ilford Kentmere 100||ID-11": aDils = Array("Stock", "1+1", "1+3")</t>
        </is>
      </c>
    </row>
    <row r="329" ht="11" customHeight="1">
      <c r="B329" s="35" t="inlineStr">
        <is>
          <t xml:space="preserve">        Case "Ilford Kentmere 100||Ilfosol 3": aDils = Array("1+9", "1+14")</t>
        </is>
      </c>
    </row>
    <row r="330" ht="11" customHeight="1">
      <c r="B330" s="35" t="inlineStr">
        <is>
          <t xml:space="preserve">        Case "Ilford Kentmere 100||Ilfotec DD-X": aDils = Array("1+4")</t>
        </is>
      </c>
    </row>
    <row r="331" ht="11" customHeight="1">
      <c r="B331" s="35" t="inlineStr">
        <is>
          <t xml:space="preserve">        Case "Ilford Kentmere 100||Ilfotec HC": aDils = Array("1+15 (Dil.A)", "1+31 (Dil.B)", "1+47 (Dil.E)", "Dil. H (1+63)")</t>
        </is>
      </c>
    </row>
    <row r="332" ht="11" customHeight="1">
      <c r="B332" s="35" t="inlineStr">
        <is>
          <t xml:space="preserve">        Case "Ilford Kentmere 100||Ilfotec LC29": aDils = Array("1+9", "1+19", "1+29")</t>
        </is>
      </c>
    </row>
    <row r="333" ht="11" customHeight="1">
      <c r="B333" s="35" t="inlineStr">
        <is>
          <t xml:space="preserve">        Case "Ilford Kentmere 100||Microphen": aDils = Array("Stock", "1+1")</t>
        </is>
      </c>
    </row>
    <row r="334" ht="11" customHeight="1">
      <c r="B334" s="35" t="inlineStr">
        <is>
          <t xml:space="preserve">        Case "Ilford Kentmere 100||Perceptol": aDils = Array("Stock", "1+1")</t>
        </is>
      </c>
    </row>
    <row r="335" ht="11" customHeight="1">
      <c r="B335" s="35" t="inlineStr">
        <is>
          <t xml:space="preserve">        Case "Ilford Kentmere 100||Rodinal": aDils = Array("1+25")</t>
        </is>
      </c>
    </row>
    <row r="336" ht="11" customHeight="1">
      <c r="B336" s="35" t="inlineStr">
        <is>
          <t xml:space="preserve">        Case "Ilford Kentmere 100||Romek PQ7": aDils = Array("(verificar con Romek)")</t>
        </is>
      </c>
    </row>
    <row r="337" ht="11" customHeight="1">
      <c r="B337" s="35" t="inlineStr">
        <is>
          <t xml:space="preserve">        Case "Ilford Kentmere 100||Romek R09": aDils = Array("1+25")</t>
        </is>
      </c>
    </row>
    <row r="338" ht="11" customHeight="1">
      <c r="B338" s="35" t="inlineStr">
        <is>
          <t xml:space="preserve">        Case "Ilford Kentmere 400||D-76": aDils = Array("Stock", "1+1", "1+3")</t>
        </is>
      </c>
    </row>
    <row r="339" ht="11" customHeight="1">
      <c r="B339" s="35" t="inlineStr">
        <is>
          <t xml:space="preserve">        Case "Ilford Kentmere 400||ID-11": aDils = Array("Stock", "1+1", "1+3")</t>
        </is>
      </c>
    </row>
    <row r="340" ht="11" customHeight="1">
      <c r="B340" s="35" t="inlineStr">
        <is>
          <t xml:space="preserve">        Case "Ilford Kentmere 400||Ilfosol 3": aDils = Array("1+9", "1+14")</t>
        </is>
      </c>
    </row>
    <row r="341" ht="11" customHeight="1">
      <c r="B341" s="35" t="inlineStr">
        <is>
          <t xml:space="preserve">        Case "Ilford Kentmere 400||Ilfotec DD-X": aDils = Array("1+4")</t>
        </is>
      </c>
    </row>
    <row r="342" ht="11" customHeight="1">
      <c r="B342" s="35" t="inlineStr">
        <is>
          <t xml:space="preserve">        Case "Ilford Kentmere 400||Ilfotec HC": aDils = Array("1+15 (Dil.A)", "1+31 (Dil.B)", "1+47 (Dil.E)", "Dil. H (1+63)")</t>
        </is>
      </c>
    </row>
    <row r="343" ht="11" customHeight="1">
      <c r="B343" s="35" t="inlineStr">
        <is>
          <t xml:space="preserve">        Case "Ilford Kentmere 400||Ilfotec LC29": aDils = Array("1+9", "1+19", "1+29")</t>
        </is>
      </c>
    </row>
    <row r="344" ht="11" customHeight="1">
      <c r="B344" s="35" t="inlineStr">
        <is>
          <t xml:space="preserve">        Case "Ilford Kentmere 400||Microphen": aDils = Array("Stock", "1+1")</t>
        </is>
      </c>
    </row>
    <row r="345" ht="11" customHeight="1">
      <c r="B345" s="35" t="inlineStr">
        <is>
          <t xml:space="preserve">        Case "Ilford Kentmere 400||Perceptol": aDils = Array("1+1")</t>
        </is>
      </c>
    </row>
    <row r="346" ht="11" customHeight="1">
      <c r="B346" s="35" t="inlineStr">
        <is>
          <t xml:space="preserve">        Case "Ilford Kentmere 400||Rodinal": aDils = Array("1+25")</t>
        </is>
      </c>
    </row>
    <row r="347" ht="11" customHeight="1">
      <c r="B347" s="35" t="inlineStr">
        <is>
          <t xml:space="preserve">        Case "Ilford Kentmere 400||Romek PQ6": aDils = Array("1+3 (verificar)")</t>
        </is>
      </c>
    </row>
    <row r="348" ht="11" customHeight="1">
      <c r="B348" s="35" t="inlineStr">
        <is>
          <t xml:space="preserve">        Case "Ilford Kentmere 400||Romek PQ7": aDils = Array("(verificar con Romek)")</t>
        </is>
      </c>
    </row>
    <row r="349" ht="11" customHeight="1">
      <c r="B349" s="35" t="inlineStr">
        <is>
          <t xml:space="preserve">        Case "Ilford Kentmere 400||Romek PQ9": aDils = Array("1+3 ó 1+6 (verificar)")</t>
        </is>
      </c>
    </row>
    <row r="350" ht="11" customHeight="1">
      <c r="B350" s="35" t="inlineStr">
        <is>
          <t xml:space="preserve">        Case "Ilford Kentmere 400||Romek R09": aDils = Array("1+25")</t>
        </is>
      </c>
    </row>
    <row r="351" ht="11" customHeight="1">
      <c r="B351" s="35" t="inlineStr">
        <is>
          <t xml:space="preserve">        Case "Ilford Pan F Plus||D-76": aDils = Array("Stock", "1+1")</t>
        </is>
      </c>
    </row>
    <row r="352" ht="11" customHeight="1">
      <c r="B352" s="35" t="inlineStr">
        <is>
          <t xml:space="preserve">        Case "Ilford Pan F Plus||HC-110": aDils = Array("Dil. B (1+31)", "Dil. H (1+63)", "Dil. E (1+47)")</t>
        </is>
      </c>
    </row>
    <row r="353" ht="11" customHeight="1">
      <c r="B353" s="35" t="inlineStr">
        <is>
          <t xml:space="preserve">        Case "Ilford Pan F Plus||ID-11": aDils = Array("Stock", "1+1")</t>
        </is>
      </c>
    </row>
    <row r="354" ht="11" customHeight="1">
      <c r="B354" s="35" t="inlineStr">
        <is>
          <t xml:space="preserve">        Case "Ilford Pan F Plus||Ilfosol 3": aDils = Array("1+9")</t>
        </is>
      </c>
    </row>
    <row r="355" ht="11" customHeight="1">
      <c r="B355" s="35" t="inlineStr">
        <is>
          <t xml:space="preserve">        Case "Ilford Pan F Plus||Ilfotec DD-X": aDils = Array("1+4")</t>
        </is>
      </c>
    </row>
    <row r="356" ht="11" customHeight="1">
      <c r="B356" s="35" t="inlineStr">
        <is>
          <t xml:space="preserve">        Case "Ilford Pan F Plus||Microdol-X": aDils = Array("Stock")</t>
        </is>
      </c>
    </row>
    <row r="357" ht="11" customHeight="1">
      <c r="B357" s="35" t="inlineStr">
        <is>
          <t xml:space="preserve">        Case "Ilford Pan F Plus||Microphen": aDils = Array("Stock")</t>
        </is>
      </c>
    </row>
    <row r="358" ht="11" customHeight="1">
      <c r="B358" s="35" t="inlineStr">
        <is>
          <t xml:space="preserve">        Case "Ilford Pan F Plus||Perceptol": aDils = Array("Stock", "1+1")</t>
        </is>
      </c>
    </row>
    <row r="359" ht="11" customHeight="1">
      <c r="B359" s="35" t="inlineStr">
        <is>
          <t xml:space="preserve">        Case "Ilford Pan F Plus||Rodinal": aDils = Array("1+25", "1+50", "1+100", "1+200")</t>
        </is>
      </c>
    </row>
    <row r="360" ht="11" customHeight="1">
      <c r="B360" s="35" t="inlineStr">
        <is>
          <t xml:space="preserve">        Case "Ilford Pan F Plus||Romek R09": aDils = Array("1+25", "1+50", "1+100", "1+200")</t>
        </is>
      </c>
    </row>
    <row r="361" ht="11" customHeight="1">
      <c r="B361" s="35" t="inlineStr">
        <is>
          <t xml:space="preserve">        Case "Ilford Pan F Plus||T-MAX Dev": aDils = Array("1+4")</t>
        </is>
      </c>
    </row>
    <row r="362" ht="11" customHeight="1">
      <c r="B362" s="35" t="inlineStr">
        <is>
          <t xml:space="preserve">        Case "Ilford Pan F Plus||T-MAX RS": aDils = Array("1+4")</t>
        </is>
      </c>
    </row>
    <row r="363" ht="11" customHeight="1">
      <c r="B363" s="35" t="inlineStr">
        <is>
          <t xml:space="preserve">        Case "Ilford Pan F Plus||XTOL": aDils = Array("Stock")</t>
        </is>
      </c>
    </row>
    <row r="364" ht="11" customHeight="1">
      <c r="B364" s="35" t="inlineStr">
        <is>
          <t xml:space="preserve">        Case "Ilford SFX 200||D-76": aDils = Array("Stock", "1+1")</t>
        </is>
      </c>
    </row>
    <row r="365" ht="11" customHeight="1">
      <c r="B365" s="35" t="inlineStr">
        <is>
          <t xml:space="preserve">        Case "Ilford SFX 200||HC-110": aDils = Array("Dil. B (1+31)", "Dil. H (1+63)", "Dil. E (1+47)")</t>
        </is>
      </c>
    </row>
    <row r="366" ht="11" customHeight="1">
      <c r="B366" s="35" t="inlineStr">
        <is>
          <t xml:space="preserve">        Case "Ilford SFX 200||ID-11": aDils = Array("Stock", "1+1")</t>
        </is>
      </c>
    </row>
    <row r="367" ht="11" customHeight="1">
      <c r="B367" s="35" t="inlineStr">
        <is>
          <t xml:space="preserve">        Case "Ilford SFX 200||Ilfosol 3": aDils = Array("1+9")</t>
        </is>
      </c>
    </row>
    <row r="368" ht="11" customHeight="1">
      <c r="B368" s="35" t="inlineStr">
        <is>
          <t xml:space="preserve">        Case "Ilford SFX 200||Ilfotec DD-X": aDils = Array("1+4")</t>
        </is>
      </c>
    </row>
    <row r="369" ht="11" customHeight="1">
      <c r="B369" s="35" t="inlineStr">
        <is>
          <t xml:space="preserve">        Case "Ilford SFX 200||Ilfotec HC": aDils = Array("1+31 (Dil.B)", "1+47 (Dil.E)", "Dil. H (1+63)")</t>
        </is>
      </c>
    </row>
    <row r="370" ht="11" customHeight="1">
      <c r="B370" s="35" t="inlineStr">
        <is>
          <t xml:space="preserve">        Case "Ilford SFX 200||Ilfotec LC29": aDils = Array("1+19")</t>
        </is>
      </c>
    </row>
    <row r="371" ht="11" customHeight="1">
      <c r="B371" s="35" t="inlineStr">
        <is>
          <t xml:space="preserve">        Case "Ilford SFX 200||Microphen": aDils = Array("Stock")</t>
        </is>
      </c>
    </row>
    <row r="372" ht="11" customHeight="1">
      <c r="B372" s="35" t="inlineStr">
        <is>
          <t xml:space="preserve">        Case "Ilford SFX 200||Perceptol": aDils = Array("Stock")</t>
        </is>
      </c>
    </row>
    <row r="373" ht="11" customHeight="1">
      <c r="B373" s="35" t="inlineStr">
        <is>
          <t xml:space="preserve">        Case "Ilford SFX 200||Rodinal": aDils = Array("1+25")</t>
        </is>
      </c>
    </row>
    <row r="374" ht="11" customHeight="1">
      <c r="B374" s="35" t="inlineStr">
        <is>
          <t xml:space="preserve">        Case "Ilford SFX 200||Romek PQ7": aDils = Array("(verificar con Romek)")</t>
        </is>
      </c>
    </row>
    <row r="375" ht="11" customHeight="1">
      <c r="B375" s="35" t="inlineStr">
        <is>
          <t xml:space="preserve">        Case "Ilford SFX 200||Romek R09": aDils = Array("1+25")</t>
        </is>
      </c>
    </row>
    <row r="376" ht="11" customHeight="1">
      <c r="B376" s="35" t="inlineStr">
        <is>
          <t xml:space="preserve">        Case "Ilford SFX 200||T-MAX Dev": aDils = Array("1+4")</t>
        </is>
      </c>
    </row>
    <row r="377" ht="11" customHeight="1">
      <c r="B377" s="35" t="inlineStr">
        <is>
          <t xml:space="preserve">        Case "JCH Streetpan 400||D-76": aDils = Array("1+1")</t>
        </is>
      </c>
    </row>
    <row r="378" ht="11" customHeight="1">
      <c r="B378" s="35" t="inlineStr">
        <is>
          <t xml:space="preserve">        Case "JCH Streetpan 400||HC-110": aDils = Array("Dil. B (1+31)", "Dil. H (1+63)", "Dil. E (1+47)")</t>
        </is>
      </c>
    </row>
    <row r="379" ht="11" customHeight="1">
      <c r="B379" s="35" t="inlineStr">
        <is>
          <t xml:space="preserve">        Case "JCH Streetpan 400||ID-11": aDils = Array("1+1")</t>
        </is>
      </c>
    </row>
    <row r="380" ht="11" customHeight="1">
      <c r="B380" s="35" t="inlineStr">
        <is>
          <t xml:space="preserve">        Case "JCH Streetpan 400||Ilfosol 3": aDils = Array("1+3")</t>
        </is>
      </c>
    </row>
    <row r="381" ht="11" customHeight="1">
      <c r="B381" s="35" t="inlineStr">
        <is>
          <t xml:space="preserve">        Case "JCH Streetpan 400||Perceptol": aDils = Array("1+1")</t>
        </is>
      </c>
    </row>
    <row r="382" ht="11" customHeight="1">
      <c r="B382" s="35" t="inlineStr">
        <is>
          <t xml:space="preserve">        Case "JCH Streetpan 400||Rodinal": aDils = Array("1+25", "1+50", "1+100", "1+200")</t>
        </is>
      </c>
    </row>
    <row r="383" ht="11" customHeight="1">
      <c r="B383" s="35" t="inlineStr">
        <is>
          <t xml:space="preserve">        Case "JCH Streetpan 400||Romek PQ6": aDils = Array("1+3 (verificar)")</t>
        </is>
      </c>
    </row>
    <row r="384" ht="11" customHeight="1">
      <c r="B384" s="35" t="inlineStr">
        <is>
          <t xml:space="preserve">        Case "JCH Streetpan 400||Romek PQ7": aDils = Array("(verificar con Romek)")</t>
        </is>
      </c>
    </row>
    <row r="385" ht="11" customHeight="1">
      <c r="B385" s="35" t="inlineStr">
        <is>
          <t xml:space="preserve">        Case "JCH Streetpan 400||Romek PQ9": aDils = Array("1+3 ó 1+6 (verificar)")</t>
        </is>
      </c>
    </row>
    <row r="386" ht="11" customHeight="1">
      <c r="B386" s="35" t="inlineStr">
        <is>
          <t xml:space="preserve">        Case "JCH Streetpan 400||Romek R09": aDils = Array("1+25", "1+50", "1+100", "1+200")</t>
        </is>
      </c>
    </row>
    <row r="387" ht="11" customHeight="1">
      <c r="B387" s="35" t="inlineStr">
        <is>
          <t xml:space="preserve">        Case "JCH Streetpan 400||T-MAX Dev": aDils = Array("1+4")</t>
        </is>
      </c>
    </row>
    <row r="388" ht="11" customHeight="1">
      <c r="B388" s="35" t="inlineStr">
        <is>
          <t xml:space="preserve">        Case "JCH Streetpan 400||XTOL": aDils = Array("1+1")</t>
        </is>
      </c>
    </row>
    <row r="389" ht="11" customHeight="1">
      <c r="B389" s="35" t="inlineStr">
        <is>
          <t xml:space="preserve">        Case "Kodak Double-X 5222||D-76": aDils = Array("Stock", "1+1", "1+2")</t>
        </is>
      </c>
    </row>
    <row r="390" ht="11" customHeight="1">
      <c r="B390" s="35" t="inlineStr">
        <is>
          <t xml:space="preserve">        Case "Kodak Double-X 5222||D-96": aDils = Array("Stock", "1+1")</t>
        </is>
      </c>
    </row>
    <row r="391" ht="11" customHeight="1">
      <c r="B391" s="35" t="inlineStr">
        <is>
          <t xml:space="preserve">        Case "Kodak Double-X 5222||HC-110": aDils = Array("Dil. B (1+31)", "Dil. H (1+63)", "Dil. E (1+47)")</t>
        </is>
      </c>
    </row>
    <row r="392" ht="11" customHeight="1">
      <c r="B392" s="35" t="inlineStr">
        <is>
          <t xml:space="preserve">        Case "Kodak Double-X 5222||ID-11": aDils = Array("Stock")</t>
        </is>
      </c>
    </row>
    <row r="393" ht="11" customHeight="1">
      <c r="B393" s="35" t="inlineStr">
        <is>
          <t xml:space="preserve">        Case "Kodak Double-X 5222||Ilfosol 3": aDils = Array("1+9")</t>
        </is>
      </c>
    </row>
    <row r="394" ht="11" customHeight="1">
      <c r="B394" s="35" t="inlineStr">
        <is>
          <t xml:space="preserve">        Case "Kodak Double-X 5222||Microphen": aDils = Array("Stock")</t>
        </is>
      </c>
    </row>
    <row r="395" ht="11" customHeight="1">
      <c r="B395" s="35" t="inlineStr">
        <is>
          <t xml:space="preserve">        Case "Kodak Double-X 5222||Rodinal": aDils = Array("1+25", "1+50", "1+100", "1+200")</t>
        </is>
      </c>
    </row>
    <row r="396" ht="11" customHeight="1">
      <c r="B396" s="35" t="inlineStr">
        <is>
          <t xml:space="preserve">        Case "Kodak Double-X 5222||Romek R09": aDils = Array("1+25", "1+50", "1+100", "1+200")</t>
        </is>
      </c>
    </row>
    <row r="397" ht="11" customHeight="1">
      <c r="B397" s="35" t="inlineStr">
        <is>
          <t xml:space="preserve">        Case "Kodak Double-X 5222||XTOL": aDils = Array("Stock", "1+1")</t>
        </is>
      </c>
    </row>
    <row r="398" ht="11" customHeight="1">
      <c r="B398" s="35" t="inlineStr">
        <is>
          <t xml:space="preserve">        Case "Kodak Plus-X 125||D-76": aDils = Array("Stock", "1+1")</t>
        </is>
      </c>
    </row>
    <row r="399" ht="11" customHeight="1">
      <c r="B399" s="35" t="inlineStr">
        <is>
          <t xml:space="preserve">        Case "Kodak Plus-X 125||HC-110": aDils = Array("Dil. B (1+31)", "Dil. H (1+63)", "Dil. E (1+47)")</t>
        </is>
      </c>
    </row>
    <row r="400" ht="11" customHeight="1">
      <c r="B400" s="35" t="inlineStr">
        <is>
          <t xml:space="preserve">        Case "Kodak Plus-X 125||Microdol-X": aDils = Array("Stock", "1+3")</t>
        </is>
      </c>
    </row>
    <row r="401" ht="11" customHeight="1">
      <c r="B401" s="35" t="inlineStr">
        <is>
          <t xml:space="preserve">        Case "Kodak Plus-X 125||T-MAX Dev": aDils = Array("Stock")</t>
        </is>
      </c>
    </row>
    <row r="402" ht="11" customHeight="1">
      <c r="B402" s="35" t="inlineStr">
        <is>
          <t xml:space="preserve">        Case "Kodak Plus-X 125||T-MAX RS": aDils = Array("1+4")</t>
        </is>
      </c>
    </row>
    <row r="403" ht="11" customHeight="1">
      <c r="B403" s="35" t="inlineStr">
        <is>
          <t xml:space="preserve">        Case "Kodak Plus-X 125||XTOL": aDils = Array("Stock", "1+1")</t>
        </is>
      </c>
    </row>
    <row r="404" ht="11" customHeight="1">
      <c r="B404" s="35" t="inlineStr">
        <is>
          <t xml:space="preserve">        Case "Kodak T-MAX 100||D-76": aDils = Array("Stock", "1+1")</t>
        </is>
      </c>
    </row>
    <row r="405" ht="11" customHeight="1">
      <c r="B405" s="35" t="inlineStr">
        <is>
          <t xml:space="preserve">        Case "Kodak T-MAX 100||HC-110": aDils = Array("Dil. B (1+31)", "Dil. H (1+63)", "Dil. E (1+47)")</t>
        </is>
      </c>
    </row>
    <row r="406" ht="11" customHeight="1">
      <c r="B406" s="35" t="inlineStr">
        <is>
          <t xml:space="preserve">        Case "Kodak T-MAX 100||ID-11": aDils = Array("Stock", "1+1")</t>
        </is>
      </c>
    </row>
    <row r="407" ht="11" customHeight="1">
      <c r="B407" s="35" t="inlineStr">
        <is>
          <t xml:space="preserve">        Case "Kodak T-MAX 100||Ilfotec HC": aDils = Array("1+31 (Dil.B)", "1+47 (Dil.E)", "Dil. H (1+63)")</t>
        </is>
      </c>
    </row>
    <row r="408" ht="11" customHeight="1">
      <c r="B408" s="35" t="inlineStr">
        <is>
          <t xml:space="preserve">        Case "Kodak T-MAX 100||Microdol-X": aDils = Array("Stock")</t>
        </is>
      </c>
    </row>
    <row r="409" ht="11" customHeight="1">
      <c r="B409" s="35" t="inlineStr">
        <is>
          <t xml:space="preserve">        Case "Kodak T-MAX 100||Rodinal": aDils = Array("1+25", "1+50", "1+100", "1+200")</t>
        </is>
      </c>
    </row>
    <row r="410" ht="11" customHeight="1">
      <c r="B410" s="35" t="inlineStr">
        <is>
          <t xml:space="preserve">        Case "Kodak T-MAX 100||Romek PQ7": aDils = Array("(verificar con Romek)")</t>
        </is>
      </c>
    </row>
    <row r="411" ht="11" customHeight="1">
      <c r="B411" s="35" t="inlineStr">
        <is>
          <t xml:space="preserve">        Case "Kodak T-MAX 100||T-MAX RS": aDils = Array("1+4")</t>
        </is>
      </c>
    </row>
    <row r="412" ht="11" customHeight="1">
      <c r="B412" s="35" t="inlineStr">
        <is>
          <t xml:space="preserve">        Case "Kodak T-MAX 100||XTOL": aDils = Array("Stock", "1+1")</t>
        </is>
      </c>
    </row>
    <row r="413" ht="11" customHeight="1">
      <c r="B413" s="35" t="inlineStr">
        <is>
          <t xml:space="preserve">        Case "Kodak T-MAX 400||D-76": aDils = Array("Stock", "1+1")</t>
        </is>
      </c>
    </row>
    <row r="414" ht="11" customHeight="1">
      <c r="B414" s="35" t="inlineStr">
        <is>
          <t xml:space="preserve">        Case "Kodak T-MAX 400||HC-110": aDils = Array("Dil. B (1+31)", "Dil. H (1+63)", "Dil. E (1+47)")</t>
        </is>
      </c>
    </row>
    <row r="415" ht="11" customHeight="1">
      <c r="B415" s="35" t="inlineStr">
        <is>
          <t xml:space="preserve">        Case "Kodak T-MAX 400||ID-11": aDils = Array("Stock", "1+1")</t>
        </is>
      </c>
    </row>
    <row r="416" ht="11" customHeight="1">
      <c r="B416" s="35" t="inlineStr">
        <is>
          <t xml:space="preserve">        Case "Kodak T-MAX 400||Ilfotec HC": aDils = Array("1+31 (Dil.B)", "1+47 (Dil.E)", "Dil. H (1+63)")</t>
        </is>
      </c>
    </row>
    <row r="417" ht="11" customHeight="1">
      <c r="B417" s="35" t="inlineStr">
        <is>
          <t xml:space="preserve">        Case "Kodak T-MAX 400||Microdol-X": aDils = Array("Stock")</t>
        </is>
      </c>
    </row>
    <row r="418" ht="11" customHeight="1">
      <c r="B418" s="35" t="inlineStr">
        <is>
          <t xml:space="preserve">        Case "Kodak T-MAX 400||Rodinal": aDils = Array("1+25", "1+50", "1+100", "1+200")</t>
        </is>
      </c>
    </row>
    <row r="419" ht="11" customHeight="1">
      <c r="B419" s="35" t="inlineStr">
        <is>
          <t xml:space="preserve">        Case "Kodak T-MAX 400||Romek PQ6": aDils = Array("1+3 (verificar)")</t>
        </is>
      </c>
    </row>
    <row r="420" ht="11" customHeight="1">
      <c r="B420" s="35" t="inlineStr">
        <is>
          <t xml:space="preserve">        Case "Kodak T-MAX 400||Romek PQ7": aDils = Array("(verificar con Romek)")</t>
        </is>
      </c>
    </row>
    <row r="421" ht="11" customHeight="1">
      <c r="B421" s="35" t="inlineStr">
        <is>
          <t xml:space="preserve">        Case "Kodak T-MAX 400||Romek PQ9": aDils = Array("1+3 ó 1+6 (verificar)")</t>
        </is>
      </c>
    </row>
    <row r="422" ht="11" customHeight="1">
      <c r="B422" s="35" t="inlineStr">
        <is>
          <t xml:space="preserve">        Case "Kodak T-MAX 400||T-MAX RS": aDils = Array("1+4")</t>
        </is>
      </c>
    </row>
    <row r="423" ht="11" customHeight="1">
      <c r="B423" s="35" t="inlineStr">
        <is>
          <t xml:space="preserve">        Case "Kodak T-MAX 400||XTOL": aDils = Array("Stock", "1+1")</t>
        </is>
      </c>
    </row>
    <row r="424" ht="11" customHeight="1">
      <c r="B424" s="35" t="inlineStr">
        <is>
          <t xml:space="preserve">        Case "Kodak Tri-X 400||D-76": aDils = Array("Stock", "1+1")</t>
        </is>
      </c>
    </row>
    <row r="425" ht="11" customHeight="1">
      <c r="B425" s="35" t="inlineStr">
        <is>
          <t xml:space="preserve">        Case "Kodak Tri-X 400||HC-110": aDils = Array("Dil. B (1+31)", "Dil. H (1+63)", "Dil. E (1+47)")</t>
        </is>
      </c>
    </row>
    <row r="426" ht="11" customHeight="1">
      <c r="B426" s="35" t="inlineStr">
        <is>
          <t xml:space="preserve">        Case "Kodak Tri-X 400||ID-11": aDils = Array("Stock", "1+1")</t>
        </is>
      </c>
    </row>
    <row r="427" ht="11" customHeight="1">
      <c r="B427" s="35" t="inlineStr">
        <is>
          <t xml:space="preserve">        Case "Kodak Tri-X 400||Ilfotec HC": aDils = Array("1+31 (Dil.B)", "1+47 (Dil.E)", "Dil. H (1+63)")</t>
        </is>
      </c>
    </row>
    <row r="428" ht="11" customHeight="1">
      <c r="B428" s="35" t="inlineStr">
        <is>
          <t xml:space="preserve">        Case "Kodak Tri-X 400||Microdol-X": aDils = Array("Stock")</t>
        </is>
      </c>
    </row>
    <row r="429" ht="11" customHeight="1">
      <c r="B429" s="35" t="inlineStr">
        <is>
          <t xml:space="preserve">        Case "Kodak Tri-X 400||Rodinal": aDils = Array("1+25", "1+50", "1+100", "1+200")</t>
        </is>
      </c>
    </row>
    <row r="430" ht="11" customHeight="1">
      <c r="B430" s="35" t="inlineStr">
        <is>
          <t xml:space="preserve">        Case "Kodak Tri-X 400||Romek PQ6": aDils = Array("1+3 (verificar)")</t>
        </is>
      </c>
    </row>
    <row r="431" ht="11" customHeight="1">
      <c r="B431" s="35" t="inlineStr">
        <is>
          <t xml:space="preserve">        Case "Kodak Tri-X 400||Romek PQ7": aDils = Array("(verificar con Romek)")</t>
        </is>
      </c>
    </row>
    <row r="432" ht="11" customHeight="1">
      <c r="B432" s="35" t="inlineStr">
        <is>
          <t xml:space="preserve">        Case "Kodak Tri-X 400||Romek PQ9": aDils = Array("1+3 ó 1+6 (verificar)")</t>
        </is>
      </c>
    </row>
    <row r="433" ht="11" customHeight="1">
      <c r="B433" s="35" t="inlineStr">
        <is>
          <t xml:space="preserve">        Case "Kodak Tri-X 400||T-MAX RS": aDils = Array("1+4")</t>
        </is>
      </c>
    </row>
    <row r="434" ht="11" customHeight="1">
      <c r="B434" s="35" t="inlineStr">
        <is>
          <t xml:space="preserve">        Case "Kodak Tri-X 400||XTOL": aDils = Array("Stock", "1+1")</t>
        </is>
      </c>
    </row>
    <row r="435" ht="11" customHeight="1">
      <c r="B435" s="35" t="inlineStr">
        <is>
          <t xml:space="preserve">        Case "Kosmo Foto Mono 100||D-76": aDils = Array("Stock", "1+1")</t>
        </is>
      </c>
    </row>
    <row r="436" ht="11" customHeight="1">
      <c r="B436" s="35" t="inlineStr">
        <is>
          <t xml:space="preserve">        Case "Kosmo Foto Mono 100||ID-11": aDils = Array("Stock", "1+1")</t>
        </is>
      </c>
    </row>
    <row r="437" ht="11" customHeight="1">
      <c r="B437" s="35" t="inlineStr">
        <is>
          <t xml:space="preserve">        Case "Kosmo Foto Mono 100||Ilfotec DD-X": aDils = Array("1+4")</t>
        </is>
      </c>
    </row>
    <row r="438" ht="11" customHeight="1">
      <c r="B438" s="35" t="inlineStr">
        <is>
          <t xml:space="preserve">        Case "Kosmo Foto Mono 100||Microphen": aDils = Array("Stock")</t>
        </is>
      </c>
    </row>
    <row r="439" ht="11" customHeight="1">
      <c r="B439" s="35" t="inlineStr">
        <is>
          <t xml:space="preserve">        Case "Kosmo Foto Mono 100||Perceptol": aDils = Array("Stock", "1+1")</t>
        </is>
      </c>
    </row>
    <row r="440" ht="11" customHeight="1">
      <c r="B440" s="35" t="inlineStr">
        <is>
          <t xml:space="preserve">        Case "Kosmo Foto Mono 100||Rodinal": aDils = Array("1+25", "1+50", "1+100", "1+200")</t>
        </is>
      </c>
    </row>
    <row r="441" ht="11" customHeight="1">
      <c r="B441" s="35" t="inlineStr">
        <is>
          <t xml:space="preserve">        Case "Kosmo Foto Mono 100||Romek PQ7": aDils = Array("(verificar con Romek)")</t>
        </is>
      </c>
    </row>
    <row r="442" ht="11" customHeight="1">
      <c r="B442" s="35" t="inlineStr">
        <is>
          <t xml:space="preserve">        Case "Kosmo Foto Mono 100||Romek R09": aDils = Array("1+25", "1+50", "1+100", "1+200")</t>
        </is>
      </c>
    </row>
    <row r="443" ht="11" customHeight="1">
      <c r="B443" s="35" t="inlineStr">
        <is>
          <t xml:space="preserve">        Case "Kosmo Foto Mono 100||T-MAX Dev": aDils = Array("1+4")</t>
        </is>
      </c>
    </row>
    <row r="444" ht="11" customHeight="1">
      <c r="B444" s="35" t="inlineStr">
        <is>
          <t xml:space="preserve">        Case "Kosmo Foto Mono 100||XTOL": aDils = Array("Stock")</t>
        </is>
      </c>
    </row>
    <row r="445" ht="11" customHeight="1">
      <c r="B445" s="35" t="inlineStr">
        <is>
          <t xml:space="preserve">        Case "Lomo Babylon Kino 13||D-76": aDils = Array("Stock")</t>
        </is>
      </c>
    </row>
    <row r="446" ht="11" customHeight="1">
      <c r="B446" s="35" t="inlineStr">
        <is>
          <t xml:space="preserve">        Case "Lomo Babylon Kino 13||HC-110": aDils = Array("Dil. B (1+31)", "Dil. H (1+63)", "Dil. E (1+47)")</t>
        </is>
      </c>
    </row>
    <row r="447" ht="11" customHeight="1">
      <c r="B447" s="35" t="inlineStr">
        <is>
          <t xml:space="preserve">        Case "Lomo Babylon Kino 13||Ilfotec HC": aDils = Array("1+31 (Dil.B)", "1+47 (Dil.E)", "Dil. H (1+63)")</t>
        </is>
      </c>
    </row>
    <row r="448" ht="11" customHeight="1">
      <c r="B448" s="35" t="inlineStr">
        <is>
          <t xml:space="preserve">        Case "Lomo Berlin Kino 400||D-76": aDils = Array("Stock", "1+1")</t>
        </is>
      </c>
    </row>
    <row r="449" ht="11" customHeight="1">
      <c r="B449" s="35" t="inlineStr">
        <is>
          <t xml:space="preserve">        Case "Lomo Berlin Kino 400||HC-110": aDils = Array("Dil. B (1+31)", "Dil. H (1+63)", "Dil. E (1+47)")</t>
        </is>
      </c>
    </row>
    <row r="450" ht="11" customHeight="1">
      <c r="B450" s="35" t="inlineStr">
        <is>
          <t xml:space="preserve">        Case "Lomo Berlin Kino 400||Ilfosol 3": aDils = Array("1+9")</t>
        </is>
      </c>
    </row>
    <row r="451" ht="11" customHeight="1">
      <c r="B451" s="35" t="inlineStr">
        <is>
          <t xml:space="preserve">        Case "Lomo Berlin Kino 400||Rodinal": aDils = Array("1+25", "1+50", "1+100", "1+200")</t>
        </is>
      </c>
    </row>
    <row r="452" ht="11" customHeight="1">
      <c r="B452" s="35" t="inlineStr">
        <is>
          <t xml:space="preserve">        Case "Lomo Berlin Kino 400||Romek PQ6": aDils = Array("1+3 (verificar)")</t>
        </is>
      </c>
    </row>
    <row r="453" ht="11" customHeight="1">
      <c r="B453" s="35" t="inlineStr">
        <is>
          <t xml:space="preserve">        Case "Lomo Berlin Kino 400||Romek PQ7": aDils = Array("(verificar con Romek)")</t>
        </is>
      </c>
    </row>
    <row r="454" ht="11" customHeight="1">
      <c r="B454" s="35" t="inlineStr">
        <is>
          <t xml:space="preserve">        Case "Lomo Berlin Kino 400||Romek PQ9": aDils = Array("1+3 ó 1+6 (verificar)")</t>
        </is>
      </c>
    </row>
    <row r="455" ht="11" customHeight="1">
      <c r="B455" s="35" t="inlineStr">
        <is>
          <t xml:space="preserve">        Case "Lomo Berlin Kino 400||Romek R09": aDils = Array("1+25", "1+50", "1+100", "1+200")</t>
        </is>
      </c>
    </row>
    <row r="456" ht="11" customHeight="1">
      <c r="B456" s="35" t="inlineStr">
        <is>
          <t xml:space="preserve">        Case "Lomo Berlin Kino 400||XTOL": aDils = Array("Stock")</t>
        </is>
      </c>
    </row>
    <row r="457" ht="11" customHeight="1">
      <c r="B457" s="35" t="inlineStr">
        <is>
          <t xml:space="preserve">        Case "Lomo Earl Grey 100||D-76": aDils = Array("Stock", "1+1")</t>
        </is>
      </c>
    </row>
    <row r="458" ht="11" customHeight="1">
      <c r="B458" s="35" t="inlineStr">
        <is>
          <t xml:space="preserve">        Case "Lomo Earl Grey 100||HC-110": aDils = Array("Dil. B (1+31)", "Dil. H (1+63)", "Dil. E (1+47)")</t>
        </is>
      </c>
    </row>
    <row r="459" ht="11" customHeight="1">
      <c r="B459" s="35" t="inlineStr">
        <is>
          <t xml:space="preserve">        Case "Lomo Earl Grey 100||Ilfosol 3": aDils = Array("1+9")</t>
        </is>
      </c>
    </row>
    <row r="460" ht="11" customHeight="1">
      <c r="B460" s="35" t="inlineStr">
        <is>
          <t xml:space="preserve">        Case "Lomo Earl Grey 100||Rodinal": aDils = Array("1+50", "1+100", "1+200")</t>
        </is>
      </c>
    </row>
    <row r="461" ht="11" customHeight="1">
      <c r="B461" s="35" t="inlineStr">
        <is>
          <t xml:space="preserve">        Case "Lomo Earl Grey 100||Romek PQ7": aDils = Array("(verificar con Romek)")</t>
        </is>
      </c>
    </row>
    <row r="462" ht="11" customHeight="1">
      <c r="B462" s="35" t="inlineStr">
        <is>
          <t xml:space="preserve">        Case "Lomo Earl Grey 100||Romek R09": aDils = Array("1+50", "1+100", "1+200")</t>
        </is>
      </c>
    </row>
    <row r="463" ht="11" customHeight="1">
      <c r="B463" s="35" t="inlineStr">
        <is>
          <t xml:space="preserve">        Case "Lomo Fantome Kino 8||D-96": aDils = Array("Stock")</t>
        </is>
      </c>
    </row>
    <row r="464" ht="11" customHeight="1">
      <c r="B464" s="35" t="inlineStr">
        <is>
          <t xml:space="preserve">        Case "Lomo Fantome Kino 8||HC-110": aDils = Array("Dil. B (1+31)", "Dil. H (1+63)", "Dil. E (1+47)")</t>
        </is>
      </c>
    </row>
    <row r="465" ht="11" customHeight="1">
      <c r="B465" s="35" t="inlineStr">
        <is>
          <t xml:space="preserve">        Case "Lomo Fantome Kino 8||Ilfosol 3": aDils = Array("1+9")</t>
        </is>
      </c>
    </row>
    <row r="466" ht="11" customHeight="1">
      <c r="B466" s="35" t="inlineStr">
        <is>
          <t xml:space="preserve">        Case "Lomo Fantome Kino 8||Ilfotec HC": aDils = Array("1+31 (Dil.B)", "1+47 (Dil.E)", "Dil. H (1+63)")</t>
        </is>
      </c>
    </row>
    <row r="467" ht="11" customHeight="1">
      <c r="B467" s="35" t="inlineStr">
        <is>
          <t xml:space="preserve">        Case "Lomo Fantome Kino 8||Rodinal": aDils = Array("1+50", "1+100", "1+200")</t>
        </is>
      </c>
    </row>
    <row r="468" ht="11" customHeight="1">
      <c r="B468" s="35" t="inlineStr">
        <is>
          <t xml:space="preserve">        Case "Lomo Fantome Kino 8||Romek R09": aDils = Array("1+50", "1+100", "1+200")</t>
        </is>
      </c>
    </row>
    <row r="469" ht="11" customHeight="1">
      <c r="B469" s="35" t="inlineStr">
        <is>
          <t xml:space="preserve">        Case "Lomo Lady Grey 400||D-23": aDils = Array("Stock", "1+1")</t>
        </is>
      </c>
    </row>
    <row r="470" ht="11" customHeight="1">
      <c r="B470" s="35" t="inlineStr">
        <is>
          <t xml:space="preserve">        Case "Lomo Lady Grey 400||D-76": aDils = Array("Stock", "1+1", "1+3")</t>
        </is>
      </c>
    </row>
    <row r="471" ht="11" customHeight="1">
      <c r="B471" s="35" t="inlineStr">
        <is>
          <t xml:space="preserve">        Case "Lomo Lady Grey 400||HC-110": aDils = Array("Dil. B (1+31)", "Dil. H (1+63)", "Dil. E (1+47)")</t>
        </is>
      </c>
    </row>
    <row r="472" ht="11" customHeight="1">
      <c r="B472" s="35" t="inlineStr">
        <is>
          <t xml:space="preserve">        Case "Lomo Lady Grey 400||Microphen": aDils = Array("Stock")</t>
        </is>
      </c>
    </row>
    <row r="473" ht="11" customHeight="1">
      <c r="B473" s="35" t="inlineStr">
        <is>
          <t xml:space="preserve">        Case "Lomo Lady Grey 400||Rodinal": aDils = Array("1+25", "1+50", "1+100", "1+200")</t>
        </is>
      </c>
    </row>
    <row r="474" ht="11" customHeight="1">
      <c r="B474" s="35" t="inlineStr">
        <is>
          <t xml:space="preserve">        Case "Lomo Lady Grey 400||Romek PQ6": aDils = Array("1+3 (verificar)")</t>
        </is>
      </c>
    </row>
    <row r="475" ht="11" customHeight="1">
      <c r="B475" s="35" t="inlineStr">
        <is>
          <t xml:space="preserve">        Case "Lomo Lady Grey 400||Romek PQ7": aDils = Array("(verificar con Romek)")</t>
        </is>
      </c>
    </row>
    <row r="476" ht="11" customHeight="1">
      <c r="B476" s="35" t="inlineStr">
        <is>
          <t xml:space="preserve">        Case "Lomo Lady Grey 400||Romek PQ9": aDils = Array("1+3 ó 1+6 (verificar)")</t>
        </is>
      </c>
    </row>
    <row r="477" ht="11" customHeight="1">
      <c r="B477" s="35" t="inlineStr">
        <is>
          <t xml:space="preserve">        Case "Lomo Lady Grey 400||Romek R09": aDils = Array("1+25", "1+50", "1+100", "1+200")</t>
        </is>
      </c>
    </row>
    <row r="478" ht="11" customHeight="1">
      <c r="B478" s="35" t="inlineStr">
        <is>
          <t xml:space="preserve">        Case "Lomo Lady Grey 400||T-MAX Dev": aDils = Array("1+4")</t>
        </is>
      </c>
    </row>
    <row r="479" ht="11" customHeight="1">
      <c r="B479" s="35" t="inlineStr">
        <is>
          <t xml:space="preserve">        Case "Lomo Lady Grey 400||T-MAX RS": aDils = Array("Stock")</t>
        </is>
      </c>
    </row>
    <row r="480" ht="11" customHeight="1">
      <c r="B480" s="35" t="inlineStr">
        <is>
          <t xml:space="preserve">        Case "Lomo Lady Grey 400||XTOL": aDils = Array("Stock", "1+3")</t>
        </is>
      </c>
    </row>
    <row r="481" ht="11" customHeight="1">
      <c r="B481" s="35" t="inlineStr">
        <is>
          <t xml:space="preserve">        Case "Lomo Potsdam Kino 100||D-76": aDils = Array("Stock", "1+1")</t>
        </is>
      </c>
    </row>
    <row r="482" ht="11" customHeight="1">
      <c r="B482" s="35" t="inlineStr">
        <is>
          <t xml:space="preserve">        Case "Lomo Potsdam Kino 100||HC-110": aDils = Array("1+11")</t>
        </is>
      </c>
    </row>
    <row r="483" ht="11" customHeight="1">
      <c r="B483" s="35" t="inlineStr">
        <is>
          <t xml:space="preserve">        Case "Lomo Potsdam Kino 100||Ilfosol 3": aDils = Array("1+9")</t>
        </is>
      </c>
    </row>
    <row r="484" ht="11" customHeight="1">
      <c r="B484" s="35" t="inlineStr">
        <is>
          <t xml:space="preserve">        Case "Lomo Potsdam Kino 100||Rodinal": aDils = Array("1+50", "1+100", "1+200")</t>
        </is>
      </c>
    </row>
    <row r="485" ht="11" customHeight="1">
      <c r="B485" s="35" t="inlineStr">
        <is>
          <t xml:space="preserve">        Case "Lomo Potsdam Kino 100||Romek PQ7": aDils = Array("(verificar con Romek)")</t>
        </is>
      </c>
    </row>
    <row r="486" ht="11" customHeight="1">
      <c r="B486" s="35" t="inlineStr">
        <is>
          <t xml:space="preserve">        Case "Lomo Potsdam Kino 100||Romek R09": aDils = Array("1+50", "1+100", "1+200")</t>
        </is>
      </c>
    </row>
    <row r="487" ht="11" customHeight="1">
      <c r="B487" s="35" t="inlineStr">
        <is>
          <t xml:space="preserve">        Case "Lomo Potsdam Kino 100||T-MAX Dev": aDils = Array("1+9")</t>
        </is>
      </c>
    </row>
    <row r="488" ht="11" customHeight="1">
      <c r="B488" s="35" t="inlineStr">
        <is>
          <t xml:space="preserve">        Case "Rollei RPX 100||D-76": aDils = Array("Stock")</t>
        </is>
      </c>
    </row>
    <row r="489" ht="11" customHeight="1">
      <c r="B489" s="35" t="inlineStr">
        <is>
          <t xml:space="preserve">        Case "Rollei RPX 100||ID-11": aDils = Array("Stock", "1+1")</t>
        </is>
      </c>
    </row>
    <row r="490" ht="11" customHeight="1">
      <c r="B490" s="35" t="inlineStr">
        <is>
          <t xml:space="preserve">        Case "Rollei RPX 100||Ilfosol 3": aDils = Array("1+9")</t>
        </is>
      </c>
    </row>
    <row r="491" ht="11" customHeight="1">
      <c r="B491" s="35" t="inlineStr">
        <is>
          <t xml:space="preserve">        Case "Rollei RPX 100||Ilfotec DD-X": aDils = Array("1+4")</t>
        </is>
      </c>
    </row>
    <row r="492" ht="11" customHeight="1">
      <c r="B492" s="35" t="inlineStr">
        <is>
          <t xml:space="preserve">        Case "Rollei RPX 100||Ilfotec LC29": aDils = Array("1+19")</t>
        </is>
      </c>
    </row>
    <row r="493" ht="11" customHeight="1">
      <c r="B493" s="35" t="inlineStr">
        <is>
          <t xml:space="preserve">        Case "Rollei RPX 100||Microphen": aDils = Array("Stock", "1+1")</t>
        </is>
      </c>
    </row>
    <row r="494" ht="11" customHeight="1">
      <c r="B494" s="35" t="inlineStr">
        <is>
          <t xml:space="preserve">        Case "Rollei RPX 100||Perceptol": aDils = Array("Stock", "1+1")</t>
        </is>
      </c>
    </row>
    <row r="495" ht="11" customHeight="1">
      <c r="B495" s="35" t="inlineStr">
        <is>
          <t xml:space="preserve">        Case "Rollei RPX 100||Rodinal": aDils = Array("1+25", "1+50", "1+100", "1+200")</t>
        </is>
      </c>
    </row>
    <row r="496" ht="11" customHeight="1">
      <c r="B496" s="35" t="inlineStr">
        <is>
          <t xml:space="preserve">        Case "Rollei RPX 100||Romek PQ7": aDils = Array("(verificar con Romek)")</t>
        </is>
      </c>
    </row>
    <row r="497" ht="11" customHeight="1">
      <c r="B497" s="35" t="inlineStr">
        <is>
          <t xml:space="preserve">        Case "Rollei RPX 100||Romek R09": aDils = Array("1+25", "1+50", "1+100", "1+200")</t>
        </is>
      </c>
    </row>
    <row r="498" ht="11" customHeight="1">
      <c r="B498" s="35" t="inlineStr">
        <is>
          <t xml:space="preserve">        Case "Rollei RPX 100||XTOL": aDils = Array("Stock", "1+1")</t>
        </is>
      </c>
    </row>
    <row r="499" ht="11" customHeight="1">
      <c r="B499" s="35" t="inlineStr">
        <is>
          <t xml:space="preserve">        Case "Rollei RPX 400||D-76": aDils = Array("Stock")</t>
        </is>
      </c>
    </row>
    <row r="500" ht="11" customHeight="1">
      <c r="B500" s="35" t="inlineStr">
        <is>
          <t xml:space="preserve">        Case "Rollei RPX 400||HC-110": aDils = Array("Dil. B (1+31)", "Dil. H (1+63)", "Dil. E (1+47)")</t>
        </is>
      </c>
    </row>
    <row r="501" ht="11" customHeight="1">
      <c r="B501" s="35" t="inlineStr">
        <is>
          <t xml:space="preserve">        Case "Rollei RPX 400||ID-11": aDils = Array("Stock", "1+1", "1+3")</t>
        </is>
      </c>
    </row>
    <row r="502" ht="11" customHeight="1">
      <c r="B502" s="35" t="inlineStr">
        <is>
          <t xml:space="preserve">        Case "Rollei RPX 400||Ilfosol 3": aDils = Array("1+9", "1+14")</t>
        </is>
      </c>
    </row>
    <row r="503" ht="11" customHeight="1">
      <c r="B503" s="35" t="inlineStr">
        <is>
          <t xml:space="preserve">        Case "Rollei RPX 400||Ilfotec DD-X": aDils = Array("1+4")</t>
        </is>
      </c>
    </row>
    <row r="504" ht="11" customHeight="1">
      <c r="B504" s="35" t="inlineStr">
        <is>
          <t xml:space="preserve">        Case "Rollei RPX 400||Ilfotec LC29": aDils = Array("1+9", "1+19")</t>
        </is>
      </c>
    </row>
    <row r="505" ht="11" customHeight="1">
      <c r="B505" s="35" t="inlineStr">
        <is>
          <t xml:space="preserve">        Case "Rollei RPX 400||Microphen": aDils = Array("Stock", "1+1")</t>
        </is>
      </c>
    </row>
    <row r="506" ht="11" customHeight="1">
      <c r="B506" s="35" t="inlineStr">
        <is>
          <t xml:space="preserve">        Case "Rollei RPX 400||Perceptol": aDils = Array("1+1")</t>
        </is>
      </c>
    </row>
    <row r="507" ht="11" customHeight="1">
      <c r="B507" s="35" t="inlineStr">
        <is>
          <t xml:space="preserve">        Case "Rollei RPX 400||Rodinal": aDils = Array("1+25", "1+50", "1+100", "1+200")</t>
        </is>
      </c>
    </row>
    <row r="508" ht="11" customHeight="1">
      <c r="B508" s="35" t="inlineStr">
        <is>
          <t xml:space="preserve">        Case "Rollei RPX 400||Romek PQ6": aDils = Array("1+3 (verificar)")</t>
        </is>
      </c>
    </row>
    <row r="509" ht="11" customHeight="1">
      <c r="B509" s="35" t="inlineStr">
        <is>
          <t xml:space="preserve">        Case "Rollei RPX 400||Romek PQ7": aDils = Array("(verificar con Romek)")</t>
        </is>
      </c>
    </row>
    <row r="510" ht="11" customHeight="1">
      <c r="B510" s="35" t="inlineStr">
        <is>
          <t xml:space="preserve">        Case "Rollei RPX 400||Romek PQ9": aDils = Array("1+3 ó 1+6 (verificar)")</t>
        </is>
      </c>
    </row>
    <row r="511" ht="11" customHeight="1">
      <c r="B511" s="35" t="inlineStr">
        <is>
          <t xml:space="preserve">        Case "Rollei RPX 400||Romek R09": aDils = Array("1+25", "1+50", "1+100", "1+200")</t>
        </is>
      </c>
    </row>
    <row r="512" ht="11" customHeight="1">
      <c r="B512" s="35" t="inlineStr">
        <is>
          <t xml:space="preserve">        Case "Rollei RPX 400||XTOL": aDils = Array("Stock", "1+1")</t>
        </is>
      </c>
    </row>
    <row r="513" ht="11" customHeight="1">
      <c r="B513" s="35" t="inlineStr">
        <is>
          <t xml:space="preserve">        Case Else: aDils = Array("")</t>
        </is>
      </c>
    </row>
    <row r="514" ht="11" customHeight="1">
      <c r="B514" s="35" t="inlineStr">
        <is>
          <t xml:space="preserve">    End Select</t>
        </is>
      </c>
    </row>
    <row r="515" ht="11" customHeight="1">
      <c r="B515" s="35" t="inlineStr">
        <is>
          <t xml:space="preserve">    </t>
        </is>
      </c>
    </row>
    <row r="516" ht="11" customHeight="1">
      <c r="B516" s="35" t="inlineStr">
        <is>
          <t xml:space="preserve">    With ws.Range("C17").Validation</t>
        </is>
      </c>
    </row>
    <row r="517" ht="11" customHeight="1">
      <c r="B517" s="35" t="inlineStr">
        <is>
          <t xml:space="preserve">        .Delete</t>
        </is>
      </c>
    </row>
    <row r="518" ht="11" customHeight="1">
      <c r="B518" s="35" t="inlineStr">
        <is>
          <t xml:space="preserve">        .Add Type:=xlValidateList, AlertStyle:=xlValidAlertStop, _</t>
        </is>
      </c>
    </row>
    <row r="519" ht="11" customHeight="1">
      <c r="B519" s="35" t="inlineStr">
        <is>
          <t xml:space="preserve">             Formula1:=Join(aDils, ",")</t>
        </is>
      </c>
    </row>
    <row r="520" ht="11" customHeight="1">
      <c r="B520" s="35" t="inlineStr">
        <is>
          <t xml:space="preserve">        .IgnoreBlank = True</t>
        </is>
      </c>
    </row>
    <row r="521" ht="11" customHeight="1">
      <c r="B521" s="35" t="inlineStr">
        <is>
          <t xml:space="preserve">        .InCellDropdown = True</t>
        </is>
      </c>
    </row>
    <row r="522" ht="11" customHeight="1">
      <c r="B522" s="35" t="inlineStr">
        <is>
          <t xml:space="preserve">        .ShowInput = False</t>
        </is>
      </c>
    </row>
    <row r="523" ht="11" customHeight="1">
      <c r="B523" s="35" t="inlineStr">
        <is>
          <t xml:space="preserve">        .ShowError = False</t>
        </is>
      </c>
    </row>
    <row r="524" ht="11" customHeight="1">
      <c r="B524" s="35" t="inlineStr">
        <is>
          <t xml:space="preserve">    End With</t>
        </is>
      </c>
    </row>
    <row r="525" ht="11" customHeight="1">
      <c r="B525" s="35" t="inlineStr">
        <is>
          <t xml:space="preserve">    </t>
        </is>
      </c>
    </row>
    <row r="526" ht="11" customHeight="1">
      <c r="B526" s="35" t="inlineStr">
        <is>
          <t xml:space="preserve">    ' Auto-seleccionar si hay una sola dilución</t>
        </is>
      </c>
    </row>
    <row r="527" ht="11" customHeight="1">
      <c r="B527" s="35" t="inlineStr">
        <is>
          <t xml:space="preserve">    If UBound(aDils) = 0 Then</t>
        </is>
      </c>
    </row>
    <row r="528" ht="11" customHeight="1">
      <c r="B528" s="35" t="inlineStr">
        <is>
          <t xml:space="preserve">        ws.Range("C17").Value = aDils(0)</t>
        </is>
      </c>
    </row>
    <row r="529" ht="11" customHeight="1">
      <c r="B529" s="35" t="inlineStr">
        <is>
          <t xml:space="preserve">    End If</t>
        </is>
      </c>
    </row>
    <row r="530" ht="11" customHeight="1">
      <c r="B530" s="35" t="inlineStr">
        <is>
          <t>End Sub</t>
        </is>
      </c>
    </row>
    <row r="531" ht="11" customHeight="1">
      <c r="B531" s="35" t="inlineStr"/>
    </row>
    <row r="532" ht="11" customHeight="1">
      <c r="B532" s="35" t="inlineStr">
        <is>
          <t>' ─── Actualizar todo (llamado al abrir) ──────────────────────</t>
        </is>
      </c>
    </row>
    <row r="533" ht="11" customHeight="1">
      <c r="B533" s="35" t="inlineStr">
        <is>
          <t>Sub UpdateAll()</t>
        </is>
      </c>
    </row>
    <row r="534" ht="11" customHeight="1">
      <c r="B534" s="35" t="inlineStr">
        <is>
          <t xml:space="preserve">    Dim ws As Worksheet</t>
        </is>
      </c>
    </row>
    <row r="535" ht="11" customHeight="1">
      <c r="B535" s="35" t="inlineStr">
        <is>
          <t xml:space="preserve">    Set ws = ThisWorkbook.Sheets("🎞 Dev Chart")</t>
        </is>
      </c>
    </row>
    <row r="536" ht="11" customHeight="1">
      <c r="B536" s="35" t="inlineStr">
        <is>
          <t xml:space="preserve">    </t>
        </is>
      </c>
    </row>
    <row r="537" ht="11" customHeight="1">
      <c r="B537" s="35" t="inlineStr">
        <is>
          <t xml:space="preserve">    ' Temperatura default</t>
        </is>
      </c>
    </row>
    <row r="538" ht="11" customHeight="1">
      <c r="B538" s="35" t="inlineStr">
        <is>
          <t xml:space="preserve">    If ws.Range("C20").Value = "" Then</t>
        </is>
      </c>
    </row>
    <row r="539" ht="11" customHeight="1">
      <c r="B539" s="35" t="inlineStr">
        <is>
          <t xml:space="preserve">        ws.Range("C20").Value = "20°C"</t>
        </is>
      </c>
    </row>
    <row r="540" ht="11" customHeight="1">
      <c r="B540" s="35" t="inlineStr">
        <is>
          <t xml:space="preserve">    End If</t>
        </is>
      </c>
    </row>
    <row r="541" ht="11" customHeight="1">
      <c r="B541" s="35" t="inlineStr">
        <is>
          <t xml:space="preserve">    </t>
        </is>
      </c>
    </row>
    <row r="542" ht="11" customHeight="1">
      <c r="B542" s="35" t="inlineStr">
        <is>
          <t xml:space="preserve">    ' Agitación default</t>
        </is>
      </c>
    </row>
    <row r="543" ht="11" customHeight="1">
      <c r="B543" s="35" t="inlineStr">
        <is>
          <t xml:space="preserve">    If ws.Range("C23").Value = "" Then</t>
        </is>
      </c>
    </row>
    <row r="544" ht="11" customHeight="1">
      <c r="B544" s="35" t="inlineStr">
        <is>
          <t xml:space="preserve">        ws.Range("C23").Value = "30s — Estándar (4 inv./30s)"</t>
        </is>
      </c>
    </row>
    <row r="545" ht="11" customHeight="1">
      <c r="B545" s="35" t="inlineStr">
        <is>
          <t xml:space="preserve">    End If</t>
        </is>
      </c>
    </row>
    <row r="546" ht="11" customHeight="1">
      <c r="B546" s="35" t="inlineStr">
        <is>
          <t xml:space="preserve">    </t>
        </is>
      </c>
    </row>
    <row r="547" ht="11" customHeight="1">
      <c r="B547" s="35" t="inlineStr">
        <is>
          <t xml:space="preserve">    ' Temperatura - validación fija</t>
        </is>
      </c>
    </row>
    <row r="548" ht="11" customHeight="1">
      <c r="B548" s="35" t="inlineStr">
        <is>
          <t xml:space="preserve">    With ws.Range("C20").Validation</t>
        </is>
      </c>
    </row>
    <row r="549" ht="11" customHeight="1">
      <c r="B549" s="35" t="inlineStr">
        <is>
          <t xml:space="preserve">        .Delete</t>
        </is>
      </c>
    </row>
    <row r="550" ht="11" customHeight="1">
      <c r="B550" s="35" t="inlineStr">
        <is>
          <t xml:space="preserve">        .Add Type:=xlValidateList, AlertStyle:=xlValidAlertStop, _</t>
        </is>
      </c>
    </row>
    <row r="551" ht="11" customHeight="1">
      <c r="B551" s="35" t="inlineStr">
        <is>
          <t xml:space="preserve">             Formula1:="18°C,19°C,20°C,21°C,22°C,23°C,24°C"</t>
        </is>
      </c>
    </row>
    <row r="552" ht="11" customHeight="1">
      <c r="B552" s="35" t="inlineStr">
        <is>
          <t xml:space="preserve">        .IgnoreBlank = True</t>
        </is>
      </c>
    </row>
    <row r="553" ht="11" customHeight="1">
      <c r="B553" s="35" t="inlineStr">
        <is>
          <t xml:space="preserve">        .InCellDropdown = True</t>
        </is>
      </c>
    </row>
    <row r="554" ht="11" customHeight="1">
      <c r="B554" s="35" t="inlineStr">
        <is>
          <t xml:space="preserve">        .ShowInput = False</t>
        </is>
      </c>
    </row>
    <row r="555" ht="11" customHeight="1">
      <c r="B555" s="35" t="inlineStr">
        <is>
          <t xml:space="preserve">        .ShowError = False</t>
        </is>
      </c>
    </row>
    <row r="556" ht="11" customHeight="1">
      <c r="B556" s="35" t="inlineStr">
        <is>
          <t xml:space="preserve">    End With</t>
        </is>
      </c>
    </row>
    <row r="557" ht="11" customHeight="1">
      <c r="B557" s="35" t="inlineStr">
        <is>
          <t xml:space="preserve">    </t>
        </is>
      </c>
    </row>
    <row r="558" ht="11" customHeight="1">
      <c r="B558" s="35" t="inlineStr">
        <is>
          <t xml:space="preserve">    ' Agitación - validación fija</t>
        </is>
      </c>
    </row>
    <row r="559" ht="11" customHeight="1">
      <c r="B559" s="35" t="inlineStr">
        <is>
          <t xml:space="preserve">    With ws.Range("C23").Validation</t>
        </is>
      </c>
    </row>
    <row r="560" ht="11" customHeight="1">
      <c r="B560" s="35" t="inlineStr">
        <is>
          <t xml:space="preserve">        .Delete</t>
        </is>
      </c>
    </row>
    <row r="561" ht="11" customHeight="1">
      <c r="B561" s="35" t="inlineStr">
        <is>
          <t xml:space="preserve">        .Add Type:=xlValidateList, AlertStyle:=xlValidAlertStop, _</t>
        </is>
      </c>
    </row>
    <row r="562" ht="11" customHeight="1">
      <c r="B562" s="35" t="inlineStr">
        <is>
          <t xml:space="preserve">             Formula1:="30s — Estándar (4 inv./30s),Continuo — Rotary / JOBO (×0.85),Stand / Desatendido"</t>
        </is>
      </c>
    </row>
    <row r="563" ht="11" customHeight="1">
      <c r="B563" s="35" t="inlineStr">
        <is>
          <t xml:space="preserve">        .IgnoreBlank = True</t>
        </is>
      </c>
    </row>
    <row r="564" ht="11" customHeight="1">
      <c r="B564" s="35" t="inlineStr">
        <is>
          <t xml:space="preserve">        .InCellDropdown = True</t>
        </is>
      </c>
    </row>
    <row r="565" ht="11" customHeight="1">
      <c r="B565" s="35" t="inlineStr">
        <is>
          <t xml:space="preserve">        .ShowInput = False</t>
        </is>
      </c>
    </row>
    <row r="566" ht="11" customHeight="1">
      <c r="B566" s="35" t="inlineStr">
        <is>
          <t xml:space="preserve">        .ShowError = False</t>
        </is>
      </c>
    </row>
    <row r="567" ht="11" customHeight="1">
      <c r="B567" s="35" t="inlineStr">
        <is>
          <t xml:space="preserve">    End With</t>
        </is>
      </c>
    </row>
    <row r="568" ht="11" customHeight="1">
      <c r="B568" s="35" t="inlineStr">
        <is>
          <t xml:space="preserve">    </t>
        </is>
      </c>
    </row>
    <row r="569" ht="11" customHeight="1">
      <c r="B569" s="35" t="inlineStr">
        <is>
          <t xml:space="preserve">    PopulateFilms</t>
        </is>
      </c>
    </row>
    <row r="570" ht="11" customHeight="1">
      <c r="B570" s="35" t="inlineStr">
        <is>
          <t>End Sub</t>
        </is>
      </c>
    </row>
  </sheetData>
  <mergeCells count="1">
    <mergeCell ref="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2026-03-18T10:06:42Z</dcterms:created>
  <dcterms:modified xmlns:dcterms="http://purl.org/dc/terms/" xmlns:xsi="http://www.w3.org/2001/XMLSchema-instance" xsi:type="dcterms:W3CDTF">2026-03-18T10:10:51Z</dcterms:modified>
</cp:coreProperties>
</file>